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sk Lis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Hand-offs" sheetId="5" state="visible" r:id="rId5"/>
    <sheet xmlns:r="http://schemas.openxmlformats.org/officeDocument/2006/relationships" name="Assumption Ledger" sheetId="6" state="visible" r:id="rId6"/>
    <sheet xmlns:r="http://schemas.openxmlformats.org/officeDocument/2006/relationships" name="Open Items" sheetId="7" state="visible" r:id="rId7"/>
  </sheets>
  <definedNames>
    <definedName name="_xlnm._FilterDatabase" localSheetId="1" hidden="1">'Task List'!$A$4:$O$50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 mmm yyyy"/>
    <numFmt numFmtId="166" formatCode="d mmm"/>
    <numFmt numFmtId="167" formatCode=";;;"/>
  </numFmts>
  <fonts count="12">
    <font>
      <name val="Calibri"/>
      <family val="2"/>
      <color theme="1"/>
      <sz val="11"/>
      <scheme val="minor"/>
    </font>
    <font>
      <name val="Arial"/>
      <b val="1"/>
      <color rgb="001F5C63"/>
      <sz val="16"/>
    </font>
    <font>
      <name val="Arial"/>
      <i val="1"/>
      <color rgb="00555555"/>
      <sz val="10"/>
    </font>
    <font>
      <name val="Arial"/>
      <b val="1"/>
      <color rgb="001F5C63"/>
      <sz val="12"/>
    </font>
    <font>
      <name val="Arial"/>
      <color rgb="00000000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8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color theme="1"/>
      <sz val="11"/>
    </font>
  </fonts>
  <fills count="11">
    <fill>
      <patternFill/>
    </fill>
    <fill>
      <patternFill patternType="gray125"/>
    </fill>
    <fill>
      <patternFill patternType="solid">
        <fgColor rgb="00FFF8C5"/>
        <bgColor rgb="00FFF8C5"/>
      </patternFill>
    </fill>
    <fill>
      <patternFill patternType="solid">
        <fgColor rgb="001F5C63"/>
        <bgColor rgb="001F5C63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DE7F6"/>
        <bgColor rgb="00EDE7F6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8F1F2"/>
        <bgColor rgb="00E8F1F2"/>
      </patternFill>
    </fill>
  </fills>
  <borders count="6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  <border/>
    <border>
      <left/>
      <right/>
      <top style="thin">
        <color rgb="00D0D5DB"/>
      </top>
      <bottom/>
      <diagonal/>
    </border>
    <border>
      <left/>
      <right style="thin">
        <color rgb="00D0D5DB"/>
      </right>
      <top style="thin">
        <color rgb="00D0D5DB"/>
      </top>
      <bottom/>
      <diagonal/>
    </border>
    <border>
      <left/>
      <right style="thin">
        <color rgb="00D0D5DB"/>
      </right>
      <top style="thin">
        <color rgb="00D0D5DB"/>
      </top>
      <bottom style="thin">
        <color rgb="00D0D5D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165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9" fontId="4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/>
    </xf>
    <xf numFmtId="0" fontId="7" fillId="10" borderId="1" applyAlignment="1" pivotButton="0" quotePrefix="0" xfId="0">
      <alignment horizontal="center"/>
    </xf>
    <xf numFmtId="9" fontId="7" fillId="10" borderId="1" applyAlignment="1" pivotButton="0" quotePrefix="0" xfId="0">
      <alignment horizontal="center"/>
    </xf>
    <xf numFmtId="0" fontId="11" fillId="0" borderId="5" pivotButton="0" quotePrefix="0" xfId="0"/>
    <xf numFmtId="0" fontId="7" fillId="0" borderId="0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166" fontId="8" fillId="3" borderId="1" applyAlignment="1" pivotButton="0" quotePrefix="0" xfId="0">
      <alignment horizontal="center" vertical="center" textRotation="90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167" fontId="11" fillId="0" borderId="1" pivotButton="0" quotePrefix="0" xfId="0"/>
    <xf numFmtId="0" fontId="4" fillId="5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12"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E65100"/>
      </font>
      <fill>
        <patternFill patternType="solid">
          <fgColor rgb="00FFE0B2"/>
          <bgColor rgb="00FFE0B2"/>
        </patternFill>
      </fill>
    </dxf>
    <dxf>
      <font>
        <name val="Arial"/>
        <b val="1"/>
        <color rgb="00B71C1C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E65100"/>
      </font>
    </dxf>
    <dxf>
      <font>
        <name val="Arial"/>
        <b val="1"/>
        <color rgb="00757575"/>
      </font>
    </dxf>
    <dxf>
      <fill>
        <patternFill patternType="solid">
          <fgColor rgb="0026A69A"/>
          <bgColor rgb="0026A69A"/>
        </patternFill>
      </fill>
    </dxf>
    <dxf>
      <fill>
        <patternFill patternType="solid">
          <fgColor rgb="00FFB74D"/>
          <bgColor rgb="00FFB74D"/>
        </patternFill>
      </fill>
    </dxf>
    <dxf>
      <font>
        <name val="Arial"/>
        <b val="1"/>
        <color rgb="00000000"/>
      </font>
      <fill>
        <patternFill patternType="solid">
          <fgColor rgb="00F9A825"/>
          <bgColor rgb="00F9A825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BBDEFB"/>
          <b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5C63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4" customWidth="1" min="3" max="3"/>
    <col width="70" customWidth="1" min="4" max="4"/>
  </cols>
  <sheetData>
    <row r="1">
      <c r="A1" s="1" t="inlineStr">
        <is>
          <t>RainReady (working name): Team Task Tracker</t>
        </is>
      </c>
      <c r="B1" s="2" t="n"/>
      <c r="C1" s="2" t="n"/>
      <c r="D1" s="2" t="n"/>
    </row>
    <row r="2">
      <c r="A2" s="3" t="inlineStr">
        <is>
          <t>Sime Darby Property University Hackathon 2026 | Planet: Climate resilience | Site: Bandar Bukit Raja sub-catchment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4" t="inlineStr">
        <is>
          <t>Purpose</t>
        </is>
      </c>
      <c r="C4" s="2" t="n"/>
      <c r="D4" s="2" t="n"/>
    </row>
    <row r="5" ht="32" customHeight="1">
      <c r="A5" s="2" t="n"/>
      <c r="B5" s="5" t="inlineStr">
        <is>
          <t>One place for every task, owner, hand-off, assumption and open item. Update the Status column on 'Task List'; the Summary and Timeline update automatically.</t>
        </is>
      </c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4" t="inlineStr">
        <is>
          <t>Settings (yellow cells are inputs)</t>
        </is>
      </c>
      <c r="C7" s="2" t="n"/>
      <c r="D7" s="2" t="n"/>
    </row>
    <row r="8">
      <c r="A8" s="2" t="n"/>
      <c r="B8" s="6" t="inlineStr">
        <is>
          <t>Day 1 date</t>
        </is>
      </c>
      <c r="C8" s="7" t="n">
        <v>46305</v>
      </c>
      <c r="D8" s="8" t="inlineStr">
        <is>
          <t>Change this if you start on another day. Timeline dates follow it.</t>
        </is>
      </c>
    </row>
    <row r="9">
      <c r="A9" s="2" t="n"/>
      <c r="B9" s="6" t="inlineStr">
        <is>
          <t>Submission deadline</t>
        </is>
      </c>
      <c r="C9" s="7" t="n">
        <v>46318</v>
      </c>
      <c r="D9" s="8" t="inlineStr">
        <is>
          <t>Proposal due 11:59 p.m. (from the competition briefing).</t>
        </is>
      </c>
    </row>
    <row r="10">
      <c r="A10" s="2" t="n"/>
      <c r="B10" s="6" t="inlineStr">
        <is>
          <t>Days remaining</t>
        </is>
      </c>
      <c r="C10" s="9">
        <f>C9-TODAY()</f>
        <v/>
      </c>
      <c r="D10" s="8" t="inlineStr">
        <is>
          <t>Calculated.</t>
        </is>
      </c>
    </row>
    <row r="11">
      <c r="A11" s="2" t="n"/>
      <c r="B11" s="6" t="inlineStr">
        <is>
          <t>Project day today</t>
        </is>
      </c>
      <c r="C11" s="9">
        <f>TODAY()-C8+1</f>
        <v/>
      </c>
      <c r="D11" s="8" t="inlineStr">
        <is>
          <t>Calculated. Day 1 = the Day 1 date above.</t>
        </is>
      </c>
    </row>
    <row r="12">
      <c r="A12" s="2" t="n"/>
      <c r="B12" s="2" t="n"/>
      <c r="C12" s="2" t="n"/>
      <c r="D12" s="2" t="n"/>
    </row>
    <row r="13">
      <c r="A13" s="2" t="n"/>
      <c r="B13" s="4" t="inlineStr">
        <is>
          <t>Team and leads (yellow = enter names)</t>
        </is>
      </c>
      <c r="C13" s="2" t="n"/>
      <c r="D13" s="2" t="n"/>
    </row>
    <row r="14" ht="30" customHeight="1">
      <c r="A14" s="10" t="inlineStr"/>
      <c r="B14" s="11" t="inlineStr">
        <is>
          <t>Role</t>
        </is>
      </c>
      <c r="C14" s="11" t="inlineStr">
        <is>
          <t>Lead (name)</t>
        </is>
      </c>
      <c r="D14" s="11" t="inlineStr">
        <is>
          <t>Focus</t>
        </is>
      </c>
    </row>
    <row r="15">
      <c r="A15" s="2" t="n"/>
      <c r="B15" s="12" t="inlineStr">
        <is>
          <t>Architecture</t>
        </is>
      </c>
      <c r="C15" s="13" t="n"/>
      <c r="D15" s="6" t="inlineStr">
        <is>
          <t>3D modelling: site model, pond and wetland geometry, scenario visuals, web-ready 3D assets, visual style</t>
        </is>
      </c>
    </row>
    <row r="16">
      <c r="A16" s="2" t="n"/>
      <c r="B16" s="12" t="inlineStr">
        <is>
          <t>Mechanical</t>
        </is>
      </c>
      <c r="C16" s="13" t="n"/>
      <c r="D16" s="6" t="inlineStr">
        <is>
          <t>Analysis and hydrology: MSMA 2 inputs, storage required, pond what-if, sensitivity, assumption ledger</t>
        </is>
      </c>
    </row>
    <row r="17">
      <c r="A17" s="2" t="n"/>
      <c r="B17" s="12" t="inlineStr">
        <is>
          <t>EE-1 Data/GIS</t>
        </is>
      </c>
      <c r="C17" s="13" t="n"/>
      <c r="D17" s="6" t="inlineStr">
        <is>
          <t>Elevation, land cover and footprint data; catchment and low-lying zones; layer package; elevation-agreement check</t>
        </is>
      </c>
    </row>
    <row r="18">
      <c r="A18" s="2" t="n"/>
      <c r="B18" s="12" t="inlineStr">
        <is>
          <t>EE-2 Dashboard</t>
        </is>
      </c>
      <c r="C18" s="13" t="n"/>
      <c r="D18" s="6" t="inlineStr">
        <is>
          <t>Four-screen dashboard, formula implementation, advisory prototype, 3D viewer embed, demo and video</t>
        </is>
      </c>
    </row>
    <row r="19">
      <c r="A19" s="2" t="n"/>
      <c r="B19" s="12" t="inlineStr">
        <is>
          <t>EE-3 Evidence &amp; Pitch</t>
        </is>
      </c>
      <c r="C19" s="13" t="n"/>
      <c r="D19" s="6" t="inlineStr">
        <is>
          <t>Survey, flood-spot back-test, responsibility map, sources and licences, business case, deck text</t>
        </is>
      </c>
    </row>
    <row r="20">
      <c r="A20" s="2" t="n"/>
      <c r="B20" s="12" t="inlineStr">
        <is>
          <t>Whole team</t>
        </is>
      </c>
      <c r="C20" s="13" t="n"/>
      <c r="D20" s="6" t="inlineStr">
        <is>
          <t>Shared set-up, check-ins, go/no-go gate, submission and link testing</t>
        </is>
      </c>
    </row>
    <row r="21">
      <c r="A21" s="2" t="n"/>
      <c r="B21" s="2" t="n"/>
      <c r="C21" s="2" t="n"/>
      <c r="D21" s="2" t="n"/>
    </row>
    <row r="22">
      <c r="A22" s="2" t="n"/>
      <c r="B22" s="4" t="inlineStr">
        <is>
          <t>How to use</t>
        </is>
      </c>
      <c r="C22" s="2" t="n"/>
      <c r="D22" s="2" t="n"/>
    </row>
    <row r="23">
      <c r="A23" s="2" t="n"/>
      <c r="B23" s="5" t="inlineStr">
        <is>
          <t>1. Enter names in the Team table above and in the Owner column of 'Task List'.</t>
        </is>
      </c>
      <c r="C23" s="2" t="n"/>
      <c r="D23" s="2" t="n"/>
    </row>
    <row r="24">
      <c r="A24" s="2" t="n"/>
      <c r="B24" s="5" t="inlineStr">
        <is>
          <t>2. Set each task's Status using the dropdown: Not started, In progress, Blocked, Done.</t>
        </is>
      </c>
      <c r="C24" s="2" t="n"/>
      <c r="D24" s="2" t="n"/>
    </row>
    <row r="25">
      <c r="A25" s="2" t="n"/>
      <c r="B25" s="5" t="inlineStr">
        <is>
          <t>3. 'Summary' shows progress by role; 'Timeline' shows the Gantt view; 'Hand-offs' lists what moves between people.</t>
        </is>
      </c>
      <c r="C25" s="2" t="n"/>
      <c r="D25" s="2" t="n"/>
    </row>
    <row r="26">
      <c r="A26" s="2" t="n"/>
      <c r="B26" s="5" t="inlineStr">
        <is>
          <t>4. Any new assumed number goes into 'Assumption Ledger'. Take volumes only from the Mechanical lead's table.</t>
        </is>
      </c>
      <c r="C26" s="2" t="n"/>
      <c r="D26" s="2" t="n"/>
    </row>
    <row r="27">
      <c r="A27" s="2" t="n"/>
      <c r="B27" s="5" t="inlineStr">
        <is>
          <t>5. Add new tasks by inserting rows inside the table on 'Task List' (Summary covers rows 5 to 100).</t>
        </is>
      </c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4" t="inlineStr">
        <is>
          <t>Rules to protect credibility</t>
        </is>
      </c>
      <c r="C29" s="2" t="n"/>
      <c r="D29" s="2" t="n"/>
    </row>
    <row r="30">
      <c r="A30" s="2" t="n"/>
      <c r="B30" s="5" t="inlineStr">
        <is>
          <t>- 3D and map visuals show risk bands or scenarios, never predicted flood depths (terrain error is about 1 m).</t>
        </is>
      </c>
      <c r="C30" s="2" t="n"/>
      <c r="D30" s="2" t="n"/>
    </row>
    <row r="31">
      <c r="A31" s="2" t="n"/>
      <c r="B31" s="5" t="inlineStr">
        <is>
          <t>- Alerts are advisory and built on official warnings. Never call them a forecast.</t>
        </is>
      </c>
      <c r="C31" s="2" t="n"/>
      <c r="D31" s="2" t="n"/>
    </row>
    <row r="32">
      <c r="A32" s="2" t="n"/>
      <c r="B32" s="5" t="inlineStr">
        <is>
          <t>- Use neutral wording. Show flow paths and capacity gaps, not blame.</t>
        </is>
      </c>
      <c r="C32" s="2" t="n"/>
      <c r="D32" s="2" t="n"/>
    </row>
    <row r="33">
      <c r="A33" s="2" t="n"/>
      <c r="B33" s="5" t="inlineStr">
        <is>
          <t>- If behind schedule, drop in this order: stretch hydrology model, demo-video 3D visuals, bench sensor demo.</t>
        </is>
      </c>
      <c r="C33" s="2" t="n"/>
      <c r="D33" s="2" t="n"/>
    </row>
    <row r="34">
      <c r="A34" s="2" t="n"/>
      <c r="B34" s="5" t="inlineStr">
        <is>
          <t>- Items marked [verify] in 'Open Items' must be confirmed before submitting.</t>
        </is>
      </c>
      <c r="C34" s="2" t="n"/>
      <c r="D34" s="2" t="n"/>
    </row>
  </sheetData>
  <mergeCells count="11">
    <mergeCell ref="B33:D33"/>
    <mergeCell ref="B5:D5"/>
    <mergeCell ref="B31:D31"/>
    <mergeCell ref="B23:D23"/>
    <mergeCell ref="B32:D32"/>
    <mergeCell ref="B26:D26"/>
    <mergeCell ref="B27:D27"/>
    <mergeCell ref="B30:D30"/>
    <mergeCell ref="B25:D25"/>
    <mergeCell ref="B24:D24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O5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52" customWidth="1" min="4" max="4"/>
    <col width="30" customWidth="1" min="5" max="5"/>
    <col width="10" customWidth="1" min="6" max="6"/>
    <col width="14" customWidth="1" min="7" max="7"/>
    <col width="9" customWidth="1" min="8" max="8"/>
    <col width="9" customWidth="1" min="9" max="9"/>
    <col width="16" customWidth="1" min="10" max="10"/>
    <col width="22" customWidth="1" min="11" max="11"/>
    <col width="16" customWidth="1" min="12" max="12"/>
    <col width="16" customWidth="1" min="13" max="13"/>
    <col width="14" customWidth="1" min="14" max="14"/>
    <col width="28" customWidth="1" min="15" max="15"/>
  </cols>
  <sheetData>
    <row r="1">
      <c r="A1" s="1" t="inlineStr">
        <is>
          <t>Task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Edit Owner, Status and Notes. Phase is calculated from Start day. Day 1 date is set on README.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0" customHeight="1">
      <c r="A4" s="11" t="inlineStr">
        <is>
          <t>ID</t>
        </is>
      </c>
      <c r="B4" s="11" t="inlineStr">
        <is>
          <t>Role</t>
        </is>
      </c>
      <c r="C4" s="11" t="inlineStr">
        <is>
          <t>Workstream</t>
        </is>
      </c>
      <c r="D4" s="11" t="inlineStr">
        <is>
          <t>Task</t>
        </is>
      </c>
      <c r="E4" s="11" t="inlineStr">
        <is>
          <t>Deliverable</t>
        </is>
      </c>
      <c r="F4" s="11" t="inlineStr">
        <is>
          <t>Priority</t>
        </is>
      </c>
      <c r="G4" s="11" t="inlineStr">
        <is>
          <t>Phase</t>
        </is>
      </c>
      <c r="H4" s="11" t="inlineStr">
        <is>
          <t>Start day</t>
        </is>
      </c>
      <c r="I4" s="11" t="inlineStr">
        <is>
          <t>End day</t>
        </is>
      </c>
      <c r="J4" s="11" t="inlineStr">
        <is>
          <t>Depends on</t>
        </is>
      </c>
      <c r="K4" s="11" t="inlineStr">
        <is>
          <t>Receives from</t>
        </is>
      </c>
      <c r="L4" s="11" t="inlineStr">
        <is>
          <t>Gives to</t>
        </is>
      </c>
      <c r="M4" s="11" t="inlineStr">
        <is>
          <t>Owner (name)</t>
        </is>
      </c>
      <c r="N4" s="11" t="inlineStr">
        <is>
          <t>Status</t>
        </is>
      </c>
      <c r="O4" s="11" t="inlineStr">
        <is>
          <t>Notes</t>
        </is>
      </c>
    </row>
    <row r="5">
      <c r="A5" s="14" t="inlineStr">
        <is>
          <t>G1</t>
        </is>
      </c>
      <c r="B5" s="15" t="inlineStr">
        <is>
          <t>Whole team</t>
        </is>
      </c>
      <c r="C5" s="6" t="inlineStr">
        <is>
          <t>Set-up</t>
        </is>
      </c>
      <c r="D5" s="6" t="inlineStr">
        <is>
          <t>Set up shared folder, layer naming, units and coordinate system</t>
        </is>
      </c>
      <c r="E5" s="6" t="inlineStr">
        <is>
          <t>One-page data contract</t>
        </is>
      </c>
      <c r="F5" s="9" t="inlineStr">
        <is>
          <t>Core</t>
        </is>
      </c>
      <c r="G5" s="9">
        <f>IF(H5&lt;=3,"P1 Set-up",IF(H5&lt;=7,"P2 Build",IF(H5&lt;=10,"P3 Integrate","P4 Package")))</f>
        <v/>
      </c>
      <c r="H5" s="9" t="n">
        <v>1</v>
      </c>
      <c r="I5" s="9" t="n">
        <v>1</v>
      </c>
      <c r="J5" s="6" t="inlineStr"/>
      <c r="K5" s="6" t="inlineStr"/>
      <c r="L5" s="6" t="inlineStr">
        <is>
          <t>All</t>
        </is>
      </c>
      <c r="M5" s="13" t="inlineStr"/>
      <c r="N5" s="16" t="inlineStr">
        <is>
          <t>Not started</t>
        </is>
      </c>
      <c r="O5" s="13" t="inlineStr"/>
    </row>
    <row r="6">
      <c r="A6" s="14" t="inlineStr">
        <is>
          <t>G2</t>
        </is>
      </c>
      <c r="B6" s="15" t="inlineStr">
        <is>
          <t>Whole team</t>
        </is>
      </c>
      <c r="C6" s="6" t="inlineStr">
        <is>
          <t>Set-up</t>
        </is>
      </c>
      <c r="D6" s="6" t="inlineStr">
        <is>
          <t>Agree study-area boundary; label SDP land, other developers' land and council areas</t>
        </is>
      </c>
      <c r="E6" s="6" t="inlineStr">
        <is>
          <t>Boundary map and note</t>
        </is>
      </c>
      <c r="F6" s="9" t="inlineStr">
        <is>
          <t>Core</t>
        </is>
      </c>
      <c r="G6" s="9">
        <f>IF(H6&lt;=3,"P1 Set-up",IF(H6&lt;=7,"P2 Build",IF(H6&lt;=10,"P3 Integrate","P4 Package")))</f>
        <v/>
      </c>
      <c r="H6" s="9" t="n">
        <v>1</v>
      </c>
      <c r="I6" s="9" t="n">
        <v>2</v>
      </c>
      <c r="J6" s="6" t="inlineStr"/>
      <c r="K6" s="6" t="inlineStr">
        <is>
          <t>Public SDP maps and press</t>
        </is>
      </c>
      <c r="L6" s="6" t="inlineStr">
        <is>
          <t>All</t>
        </is>
      </c>
      <c r="M6" s="13" t="inlineStr"/>
      <c r="N6" s="16" t="inlineStr">
        <is>
          <t>Not started</t>
        </is>
      </c>
      <c r="O6" s="13" t="inlineStr"/>
    </row>
    <row r="7">
      <c r="A7" s="14" t="inlineStr">
        <is>
          <t>G3</t>
        </is>
      </c>
      <c r="B7" s="15" t="inlineStr">
        <is>
          <t>Whole team</t>
        </is>
      </c>
      <c r="C7" s="6" t="inlineStr">
        <is>
          <t>Coordination</t>
        </is>
      </c>
      <c r="D7" s="6" t="inlineStr">
        <is>
          <t>Daily 10-minute check-in</t>
        </is>
      </c>
      <c r="E7" s="6" t="inlineStr">
        <is>
          <t>Notes in shared folder</t>
        </is>
      </c>
      <c r="F7" s="9" t="inlineStr">
        <is>
          <t>Core</t>
        </is>
      </c>
      <c r="G7" s="9">
        <f>IF(H7&lt;=3,"P1 Set-up",IF(H7&lt;=7,"P2 Build",IF(H7&lt;=10,"P3 Integrate","P4 Package")))</f>
        <v/>
      </c>
      <c r="H7" s="9" t="n">
        <v>1</v>
      </c>
      <c r="I7" s="9" t="n">
        <v>13</v>
      </c>
      <c r="J7" s="6" t="inlineStr"/>
      <c r="K7" s="6" t="inlineStr"/>
      <c r="L7" s="6" t="inlineStr">
        <is>
          <t>All</t>
        </is>
      </c>
      <c r="M7" s="13" t="inlineStr"/>
      <c r="N7" s="16" t="inlineStr">
        <is>
          <t>Not started</t>
        </is>
      </c>
      <c r="O7" s="13" t="inlineStr"/>
    </row>
    <row r="8">
      <c r="A8" s="14" t="inlineStr">
        <is>
          <t>G4</t>
        </is>
      </c>
      <c r="B8" s="15" t="inlineStr">
        <is>
          <t>Whole team</t>
        </is>
      </c>
      <c r="C8" s="6" t="inlineStr">
        <is>
          <t>Coordination</t>
        </is>
      </c>
      <c r="D8" s="6" t="inlineStr">
        <is>
          <t>Go/no-go gate: layers load and catchment looks plausible</t>
        </is>
      </c>
      <c r="E8" s="6" t="inlineStr">
        <is>
          <t>Decision recorded</t>
        </is>
      </c>
      <c r="F8" s="9" t="inlineStr">
        <is>
          <t>Core</t>
        </is>
      </c>
      <c r="G8" s="9">
        <f>IF(H8&lt;=3,"P1 Set-up",IF(H8&lt;=7,"P2 Build",IF(H8&lt;=10,"P3 Integrate","P4 Package")))</f>
        <v/>
      </c>
      <c r="H8" s="9" t="n">
        <v>3</v>
      </c>
      <c r="I8" s="9" t="n">
        <v>3</v>
      </c>
      <c r="J8" s="6" t="inlineStr">
        <is>
          <t>D3, D6, A1</t>
        </is>
      </c>
      <c r="K8" s="6" t="inlineStr"/>
      <c r="L8" s="6" t="inlineStr">
        <is>
          <t>All</t>
        </is>
      </c>
      <c r="M8" s="13" t="inlineStr"/>
      <c r="N8" s="16" t="inlineStr">
        <is>
          <t>Not started</t>
        </is>
      </c>
      <c r="O8" s="13" t="inlineStr"/>
    </row>
    <row r="9">
      <c r="A9" s="14" t="inlineStr">
        <is>
          <t>G5</t>
        </is>
      </c>
      <c r="B9" s="15" t="inlineStr">
        <is>
          <t>Whole team</t>
        </is>
      </c>
      <c r="C9" s="6" t="inlineStr">
        <is>
          <t>Submission</t>
        </is>
      </c>
      <c r="D9" s="6" t="inlineStr">
        <is>
          <t>Compile submission package: deck (max 10 main slides), 5-minute video link, prototype link, supporting docs</t>
        </is>
      </c>
      <c r="E9" s="6" t="inlineStr">
        <is>
          <t>Complete package</t>
        </is>
      </c>
      <c r="F9" s="9" t="inlineStr">
        <is>
          <t>Core</t>
        </is>
      </c>
      <c r="G9" s="9">
        <f>IF(H9&lt;=3,"P1 Set-up",IF(H9&lt;=7,"P2 Build",IF(H9&lt;=10,"P3 Integrate","P4 Package")))</f>
        <v/>
      </c>
      <c r="H9" s="9" t="n">
        <v>12</v>
      </c>
      <c r="I9" s="9" t="n">
        <v>13</v>
      </c>
      <c r="J9" s="6" t="inlineStr">
        <is>
          <t>S8, W8</t>
        </is>
      </c>
      <c r="K9" s="6" t="inlineStr"/>
      <c r="L9" s="6" t="inlineStr">
        <is>
          <t>Judges</t>
        </is>
      </c>
      <c r="M9" s="13" t="inlineStr"/>
      <c r="N9" s="16" t="inlineStr">
        <is>
          <t>Not started</t>
        </is>
      </c>
      <c r="O9" s="13" t="inlineStr"/>
    </row>
    <row r="10">
      <c r="A10" s="14" t="inlineStr">
        <is>
          <t>G6</t>
        </is>
      </c>
      <c r="B10" s="15" t="inlineStr">
        <is>
          <t>Whole team</t>
        </is>
      </c>
      <c r="C10" s="6" t="inlineStr">
        <is>
          <t>Submission</t>
        </is>
      </c>
      <c r="D10" s="6" t="inlineStr">
        <is>
          <t>Test every link signed-out or in incognito; proofread</t>
        </is>
      </c>
      <c r="E10" s="6" t="inlineStr">
        <is>
          <t>Checklist ticked</t>
        </is>
      </c>
      <c r="F10" s="9" t="inlineStr">
        <is>
          <t>Core</t>
        </is>
      </c>
      <c r="G10" s="9">
        <f>IF(H10&lt;=3,"P1 Set-up",IF(H10&lt;=7,"P2 Build",IF(H10&lt;=10,"P3 Integrate","P4 Package")))</f>
        <v/>
      </c>
      <c r="H10" s="9" t="n">
        <v>13</v>
      </c>
      <c r="I10" s="9" t="n">
        <v>13</v>
      </c>
      <c r="J10" s="6" t="inlineStr">
        <is>
          <t>G5</t>
        </is>
      </c>
      <c r="K10" s="6" t="inlineStr"/>
      <c r="L10" s="6" t="inlineStr">
        <is>
          <t>Judges</t>
        </is>
      </c>
      <c r="M10" s="13" t="inlineStr"/>
      <c r="N10" s="16" t="inlineStr">
        <is>
          <t>Not started</t>
        </is>
      </c>
      <c r="O10" s="13" t="inlineStr"/>
    </row>
    <row r="11">
      <c r="A11" s="14" t="inlineStr">
        <is>
          <t>D1</t>
        </is>
      </c>
      <c r="B11" s="17" t="inlineStr">
        <is>
          <t>EE-1 Data/GIS</t>
        </is>
      </c>
      <c r="C11" s="6" t="inlineStr">
        <is>
          <t>Data</t>
        </is>
      </c>
      <c r="D11" s="6" t="inlineStr">
        <is>
          <t>Download elevation models (FABDEM plus a second model for comparison); check licence terms</t>
        </is>
      </c>
      <c r="E11" s="6" t="inlineStr">
        <is>
          <t>Raster files and licence note</t>
        </is>
      </c>
      <c r="F11" s="9" t="inlineStr">
        <is>
          <t>Core</t>
        </is>
      </c>
      <c r="G11" s="9">
        <f>IF(H11&lt;=3,"P1 Set-up",IF(H11&lt;=7,"P2 Build",IF(H11&lt;=10,"P3 Integrate","P4 Package")))</f>
        <v/>
      </c>
      <c r="H11" s="9" t="n">
        <v>1</v>
      </c>
      <c r="I11" s="9" t="n">
        <v>2</v>
      </c>
      <c r="J11" s="6" t="inlineStr">
        <is>
          <t>G1</t>
        </is>
      </c>
      <c r="K11" s="6" t="inlineStr"/>
      <c r="L11" s="6" t="inlineStr">
        <is>
          <t>D3, A1</t>
        </is>
      </c>
      <c r="M11" s="13" t="inlineStr"/>
      <c r="N11" s="16" t="inlineStr">
        <is>
          <t>Not started</t>
        </is>
      </c>
      <c r="O11" s="13" t="inlineStr"/>
    </row>
    <row r="12">
      <c r="A12" s="14" t="inlineStr">
        <is>
          <t>D2</t>
        </is>
      </c>
      <c r="B12" s="17" t="inlineStr">
        <is>
          <t>EE-1 Data/GIS</t>
        </is>
      </c>
      <c r="C12" s="6" t="inlineStr">
        <is>
          <t>Data</t>
        </is>
      </c>
      <c r="D12" s="6" t="inlineStr">
        <is>
          <t>Download land cover, building footprints and roads</t>
        </is>
      </c>
      <c r="E12" s="6" t="inlineStr">
        <is>
          <t>Layer files</t>
        </is>
      </c>
      <c r="F12" s="9" t="inlineStr">
        <is>
          <t>Core</t>
        </is>
      </c>
      <c r="G12" s="9">
        <f>IF(H12&lt;=3,"P1 Set-up",IF(H12&lt;=7,"P2 Build",IF(H12&lt;=10,"P3 Integrate","P4 Package")))</f>
        <v/>
      </c>
      <c r="H12" s="9" t="n">
        <v>1</v>
      </c>
      <c r="I12" s="9" t="n">
        <v>2</v>
      </c>
      <c r="J12" s="6" t="inlineStr">
        <is>
          <t>G1</t>
        </is>
      </c>
      <c r="K12" s="6" t="inlineStr"/>
      <c r="L12" s="6" t="inlineStr">
        <is>
          <t>D3, A1, M2</t>
        </is>
      </c>
      <c r="M12" s="13" t="inlineStr"/>
      <c r="N12" s="16" t="inlineStr">
        <is>
          <t>Not started</t>
        </is>
      </c>
      <c r="O12" s="13" t="inlineStr"/>
    </row>
    <row r="13">
      <c r="A13" s="14" t="inlineStr">
        <is>
          <t>D3</t>
        </is>
      </c>
      <c r="B13" s="17" t="inlineStr">
        <is>
          <t>EE-1 Data/GIS</t>
        </is>
      </c>
      <c r="C13" s="6" t="inlineStr">
        <is>
          <t>Analysis</t>
        </is>
      </c>
      <c r="D13" s="6" t="inlineStr">
        <is>
          <t>Delineate catchment and flow paths using the Mechanical lead's parameters</t>
        </is>
      </c>
      <c r="E13" s="6" t="inlineStr">
        <is>
          <t>Catchment polygon and flow lines</t>
        </is>
      </c>
      <c r="F13" s="9" t="inlineStr">
        <is>
          <t>Core</t>
        </is>
      </c>
      <c r="G13" s="9">
        <f>IF(H13&lt;=3,"P1 Set-up",IF(H13&lt;=7,"P2 Build",IF(H13&lt;=10,"P3 Integrate","P4 Package")))</f>
        <v/>
      </c>
      <c r="H13" s="9" t="n">
        <v>2</v>
      </c>
      <c r="I13" s="9" t="n">
        <v>4</v>
      </c>
      <c r="J13" s="6" t="inlineStr">
        <is>
          <t>D1, D2, M2</t>
        </is>
      </c>
      <c r="K13" s="6" t="inlineStr">
        <is>
          <t>Mechanical (parameters)</t>
        </is>
      </c>
      <c r="L13" s="6" t="inlineStr">
        <is>
          <t>M1, A5</t>
        </is>
      </c>
      <c r="M13" s="13" t="inlineStr"/>
      <c r="N13" s="16" t="inlineStr">
        <is>
          <t>Not started</t>
        </is>
      </c>
      <c r="O13" s="13" t="inlineStr"/>
    </row>
    <row r="14">
      <c r="A14" s="14" t="inlineStr">
        <is>
          <t>D4</t>
        </is>
      </c>
      <c r="B14" s="17" t="inlineStr">
        <is>
          <t>EE-1 Data/GIS</t>
        </is>
      </c>
      <c r="C14" s="6" t="inlineStr">
        <is>
          <t>Analysis</t>
        </is>
      </c>
      <c r="D14" s="6" t="inlineStr">
        <is>
          <t>Map low-lying zones and risk bands</t>
        </is>
      </c>
      <c r="E14" s="6" t="inlineStr">
        <is>
          <t>Risk-band layer</t>
        </is>
      </c>
      <c r="F14" s="9" t="inlineStr">
        <is>
          <t>Core</t>
        </is>
      </c>
      <c r="G14" s="9">
        <f>IF(H14&lt;=3,"P1 Set-up",IF(H14&lt;=7,"P2 Build",IF(H14&lt;=10,"P3 Integrate","P4 Package")))</f>
        <v/>
      </c>
      <c r="H14" s="9" t="n">
        <v>3</v>
      </c>
      <c r="I14" s="9" t="n">
        <v>4</v>
      </c>
      <c r="J14" s="6" t="inlineStr">
        <is>
          <t>D3</t>
        </is>
      </c>
      <c r="K14" s="6" t="inlineStr"/>
      <c r="L14" s="6" t="inlineStr">
        <is>
          <t>S4, W2, A4</t>
        </is>
      </c>
      <c r="M14" s="13" t="inlineStr"/>
      <c r="N14" s="16" t="inlineStr">
        <is>
          <t>Not started</t>
        </is>
      </c>
      <c r="O14" s="13" t="inlineStr"/>
    </row>
    <row r="15">
      <c r="A15" s="14" t="inlineStr">
        <is>
          <t>D5</t>
        </is>
      </c>
      <c r="B15" s="17" t="inlineStr">
        <is>
          <t>EE-1 Data/GIS</t>
        </is>
      </c>
      <c r="C15" s="6" t="inlineStr">
        <is>
          <t>Validation</t>
        </is>
      </c>
      <c r="D15" s="6" t="inlineStr">
        <is>
          <t>Elevation-agreement check: which high-risk cells hold across two terrain models</t>
        </is>
      </c>
      <c r="E15" s="6" t="inlineStr">
        <is>
          <t>Robust-hotspot layer and note</t>
        </is>
      </c>
      <c r="F15" s="9" t="inlineStr">
        <is>
          <t>Core</t>
        </is>
      </c>
      <c r="G15" s="9">
        <f>IF(H15&lt;=3,"P1 Set-up",IF(H15&lt;=7,"P2 Build",IF(H15&lt;=10,"P3 Integrate","P4 Package")))</f>
        <v/>
      </c>
      <c r="H15" s="9" t="n">
        <v>4</v>
      </c>
      <c r="I15" s="9" t="n">
        <v>5</v>
      </c>
      <c r="J15" s="6" t="inlineStr">
        <is>
          <t>D4</t>
        </is>
      </c>
      <c r="K15" s="6" t="inlineStr"/>
      <c r="L15" s="6" t="inlineStr">
        <is>
          <t>W2, S8</t>
        </is>
      </c>
      <c r="M15" s="13" t="inlineStr"/>
      <c r="N15" s="16" t="inlineStr">
        <is>
          <t>Not started</t>
        </is>
      </c>
      <c r="O15" s="13" t="inlineStr"/>
    </row>
    <row r="16">
      <c r="A16" s="14" t="inlineStr">
        <is>
          <t>D6</t>
        </is>
      </c>
      <c r="B16" s="17" t="inlineStr">
        <is>
          <t>EE-1 Data/GIS</t>
        </is>
      </c>
      <c r="C16" s="6" t="inlineStr">
        <is>
          <t>Data</t>
        </is>
      </c>
      <c r="D16" s="6" t="inlineStr">
        <is>
          <t>Deliver clean layer package v1 (naming, units, coordinate system)</t>
        </is>
      </c>
      <c r="E16" s="6" t="inlineStr">
        <is>
          <t>Layer package</t>
        </is>
      </c>
      <c r="F16" s="9" t="inlineStr">
        <is>
          <t>Core</t>
        </is>
      </c>
      <c r="G16" s="9">
        <f>IF(H16&lt;=3,"P1 Set-up",IF(H16&lt;=7,"P2 Build",IF(H16&lt;=10,"P3 Integrate","P4 Package")))</f>
        <v/>
      </c>
      <c r="H16" s="9" t="n">
        <v>2</v>
      </c>
      <c r="I16" s="9" t="n">
        <v>3</v>
      </c>
      <c r="J16" s="6" t="inlineStr">
        <is>
          <t>D1, D2, G1</t>
        </is>
      </c>
      <c r="K16" s="6" t="inlineStr"/>
      <c r="L16" s="6" t="inlineStr">
        <is>
          <t>A1, M1, M2</t>
        </is>
      </c>
      <c r="M16" s="13" t="inlineStr"/>
      <c r="N16" s="16" t="inlineStr">
        <is>
          <t>Not started</t>
        </is>
      </c>
      <c r="O16" s="13" t="inlineStr"/>
    </row>
    <row r="17">
      <c r="A17" s="14" t="inlineStr">
        <is>
          <t>A8</t>
        </is>
      </c>
      <c r="B17" s="18" t="inlineStr">
        <is>
          <t>Architecture</t>
        </is>
      </c>
      <c r="C17" s="6" t="inlineStr">
        <is>
          <t>3D modelling</t>
        </is>
      </c>
      <c r="D17" s="6" t="inlineStr">
        <is>
          <t>Visual style sheet: colours for risk bands, ownership, flow paths (accessible)</t>
        </is>
      </c>
      <c r="E17" s="6" t="inlineStr">
        <is>
          <t>One-page style sheet</t>
        </is>
      </c>
      <c r="F17" s="9" t="inlineStr">
        <is>
          <t>Core</t>
        </is>
      </c>
      <c r="G17" s="9">
        <f>IF(H17&lt;=3,"P1 Set-up",IF(H17&lt;=7,"P2 Build",IF(H17&lt;=10,"P3 Integrate","P4 Package")))</f>
        <v/>
      </c>
      <c r="H17" s="9" t="n">
        <v>1</v>
      </c>
      <c r="I17" s="9" t="n">
        <v>2</v>
      </c>
      <c r="J17" s="6" t="inlineStr"/>
      <c r="K17" s="6" t="inlineStr"/>
      <c r="L17" s="6" t="inlineStr">
        <is>
          <t>W1, S8</t>
        </is>
      </c>
      <c r="M17" s="13" t="inlineStr"/>
      <c r="N17" s="16" t="inlineStr">
        <is>
          <t>Not started</t>
        </is>
      </c>
      <c r="O17" s="13" t="inlineStr"/>
    </row>
    <row r="18">
      <c r="A18" s="14" t="inlineStr">
        <is>
          <t>A1</t>
        </is>
      </c>
      <c r="B18" s="18" t="inlineStr">
        <is>
          <t>Architecture</t>
        </is>
      </c>
      <c r="C18" s="6" t="inlineStr">
        <is>
          <t>3D modelling</t>
        </is>
      </c>
      <c r="D18" s="6" t="inlineStr">
        <is>
          <t>Base 3D site model: terrain, buildings, roads, Townpark and ponds</t>
        </is>
      </c>
      <c r="E18" s="6" t="inlineStr">
        <is>
          <t>Model file plus GLB export</t>
        </is>
      </c>
      <c r="F18" s="9" t="inlineStr">
        <is>
          <t>Core</t>
        </is>
      </c>
      <c r="G18" s="9">
        <f>IF(H18&lt;=3,"P1 Set-up",IF(H18&lt;=7,"P2 Build",IF(H18&lt;=10,"P3 Integrate","P4 Package")))</f>
        <v/>
      </c>
      <c r="H18" s="9" t="n">
        <v>1</v>
      </c>
      <c r="I18" s="9" t="n">
        <v>4</v>
      </c>
      <c r="J18" s="6" t="inlineStr">
        <is>
          <t>D1, D2, D6</t>
        </is>
      </c>
      <c r="K18" s="6" t="inlineStr">
        <is>
          <t>EE-1 (terrain, footprints)</t>
        </is>
      </c>
      <c r="L18" s="6" t="inlineStr">
        <is>
          <t>A2, A5, W6</t>
        </is>
      </c>
      <c r="M18" s="13" t="inlineStr"/>
      <c r="N18" s="16" t="inlineStr">
        <is>
          <t>Not started</t>
        </is>
      </c>
      <c r="O18" s="13" t="inlineStr"/>
    </row>
    <row r="19">
      <c r="A19" s="14" t="inlineStr">
        <is>
          <t>A2</t>
        </is>
      </c>
      <c r="B19" s="18" t="inlineStr">
        <is>
          <t>Architecture</t>
        </is>
      </c>
      <c r="C19" s="6" t="inlineStr">
        <is>
          <t>3D modelling</t>
        </is>
      </c>
      <c r="D19" s="6" t="inlineStr">
        <is>
          <t>Parametric pond and wetland objects (area and depth adjustable); Townpark from SDP booklet; Taman Mutiara pond</t>
        </is>
      </c>
      <c r="E19" s="6" t="inlineStr">
        <is>
          <t>Pond objects</t>
        </is>
      </c>
      <c r="F19" s="9" t="inlineStr">
        <is>
          <t>Core</t>
        </is>
      </c>
      <c r="G19" s="9">
        <f>IF(H19&lt;=3,"P1 Set-up",IF(H19&lt;=7,"P2 Build",IF(H19&lt;=10,"P3 Integrate","P4 Package")))</f>
        <v/>
      </c>
      <c r="H19" s="9" t="n">
        <v>3</v>
      </c>
      <c r="I19" s="9" t="n">
        <v>5</v>
      </c>
      <c r="J19" s="6" t="inlineStr">
        <is>
          <t>A1</t>
        </is>
      </c>
      <c r="K19" s="6" t="inlineStr">
        <is>
          <t>Mechanical (inputs)</t>
        </is>
      </c>
      <c r="L19" s="6" t="inlineStr">
        <is>
          <t>A3, A4</t>
        </is>
      </c>
      <c r="M19" s="13" t="inlineStr"/>
      <c r="N19" s="16" t="inlineStr">
        <is>
          <t>Not started</t>
        </is>
      </c>
      <c r="O19" s="13" t="inlineStr"/>
    </row>
    <row r="20">
      <c r="A20" s="14" t="inlineStr">
        <is>
          <t>A3</t>
        </is>
      </c>
      <c r="B20" s="18" t="inlineStr">
        <is>
          <t>Architecture</t>
        </is>
      </c>
      <c r="C20" s="6" t="inlineStr">
        <is>
          <t>Design options</t>
        </is>
      </c>
      <c r="D20" s="6" t="inlineStr">
        <is>
          <t>Blue-green option library: deeper pond, extra pond, wetland, swale, bioretention, dual-use park</t>
        </is>
      </c>
      <c r="E20" s="6" t="inlineStr">
        <is>
          <t>Options catalogue with area, depth, volume</t>
        </is>
      </c>
      <c r="F20" s="9" t="inlineStr">
        <is>
          <t>Core</t>
        </is>
      </c>
      <c r="G20" s="9">
        <f>IF(H20&lt;=3,"P1 Set-up",IF(H20&lt;=7,"P2 Build",IF(H20&lt;=10,"P3 Integrate","P4 Package")))</f>
        <v/>
      </c>
      <c r="H20" s="9" t="n">
        <v>4</v>
      </c>
      <c r="I20" s="9" t="n">
        <v>6</v>
      </c>
      <c r="J20" s="6" t="inlineStr">
        <is>
          <t>A2, M4</t>
        </is>
      </c>
      <c r="K20" s="6" t="inlineStr">
        <is>
          <t>Mechanical (volumes)</t>
        </is>
      </c>
      <c r="L20" s="6" t="inlineStr">
        <is>
          <t>W3, S8</t>
        </is>
      </c>
      <c r="M20" s="13" t="inlineStr"/>
      <c r="N20" s="16" t="inlineStr">
        <is>
          <t>Not started</t>
        </is>
      </c>
      <c r="O20" s="13" t="inlineStr"/>
    </row>
    <row r="21">
      <c r="A21" s="14" t="inlineStr">
        <is>
          <t>A5</t>
        </is>
      </c>
      <c r="B21" s="18" t="inlineStr">
        <is>
          <t>Architecture</t>
        </is>
      </c>
      <c r="C21" s="6" t="inlineStr">
        <is>
          <t>3D modelling</t>
        </is>
      </c>
      <c r="D21" s="6" t="inlineStr">
        <is>
          <t>Flow-path scene: Setia Alam to BBR route and council boundaries</t>
        </is>
      </c>
      <c r="E21" s="6" t="inlineStr">
        <is>
          <t>Annotated scene</t>
        </is>
      </c>
      <c r="F21" s="9" t="inlineStr">
        <is>
          <t>Core</t>
        </is>
      </c>
      <c r="G21" s="9">
        <f>IF(H21&lt;=3,"P1 Set-up",IF(H21&lt;=7,"P2 Build",IF(H21&lt;=10,"P3 Integrate","P4 Package")))</f>
        <v/>
      </c>
      <c r="H21" s="9" t="n">
        <v>5</v>
      </c>
      <c r="I21" s="9" t="n">
        <v>6</v>
      </c>
      <c r="J21" s="6" t="inlineStr">
        <is>
          <t>A1, D3</t>
        </is>
      </c>
      <c r="K21" s="6" t="inlineStr">
        <is>
          <t>EE-1 (flow lines)</t>
        </is>
      </c>
      <c r="L21" s="6" t="inlineStr">
        <is>
          <t>W6, S8</t>
        </is>
      </c>
      <c r="M21" s="13" t="inlineStr"/>
      <c r="N21" s="16" t="inlineStr">
        <is>
          <t>Not started</t>
        </is>
      </c>
      <c r="O21" s="13" t="inlineStr"/>
    </row>
    <row r="22">
      <c r="A22" s="14" t="inlineStr">
        <is>
          <t>A4</t>
        </is>
      </c>
      <c r="B22" s="18" t="inlineStr">
        <is>
          <t>Architecture</t>
        </is>
      </c>
      <c r="C22" s="6" t="inlineStr">
        <is>
          <t>3D modelling</t>
        </is>
      </c>
      <c r="D22" s="6" t="inlineStr">
        <is>
          <t>Scenario views: existing versus added storage, with risk bands (labelled illustrative)</t>
        </is>
      </c>
      <c r="E22" s="6" t="inlineStr">
        <is>
          <t>3-4 rendered scenes</t>
        </is>
      </c>
      <c r="F22" s="9" t="inlineStr">
        <is>
          <t>Core</t>
        </is>
      </c>
      <c r="G22" s="9">
        <f>IF(H22&lt;=3,"P1 Set-up",IF(H22&lt;=7,"P2 Build",IF(H22&lt;=10,"P3 Integrate","P4 Package")))</f>
        <v/>
      </c>
      <c r="H22" s="9" t="n">
        <v>6</v>
      </c>
      <c r="I22" s="9" t="n">
        <v>8</v>
      </c>
      <c r="J22" s="6" t="inlineStr">
        <is>
          <t>A2, A3, D4</t>
        </is>
      </c>
      <c r="K22" s="6" t="inlineStr">
        <is>
          <t>Mechanical (storage gap)</t>
        </is>
      </c>
      <c r="L22" s="6" t="inlineStr">
        <is>
          <t>S8, W6</t>
        </is>
      </c>
      <c r="M22" s="13" t="inlineStr"/>
      <c r="N22" s="16" t="inlineStr">
        <is>
          <t>Not started</t>
        </is>
      </c>
      <c r="O22" s="13" t="inlineStr"/>
    </row>
    <row r="23">
      <c r="A23" s="14" t="inlineStr">
        <is>
          <t>A6</t>
        </is>
      </c>
      <c r="B23" s="18" t="inlineStr">
        <is>
          <t>Architecture</t>
        </is>
      </c>
      <c r="C23" s="6" t="inlineStr">
        <is>
          <t>3D modelling</t>
        </is>
      </c>
      <c r="D23" s="6" t="inlineStr">
        <is>
          <t>Optimise web assets (small files, clear layer names)</t>
        </is>
      </c>
      <c r="E23" s="6" t="inlineStr">
        <is>
          <t>GLB files and layer list</t>
        </is>
      </c>
      <c r="F23" s="9" t="inlineStr">
        <is>
          <t>Core</t>
        </is>
      </c>
      <c r="G23" s="9">
        <f>IF(H23&lt;=3,"P1 Set-up",IF(H23&lt;=7,"P2 Build",IF(H23&lt;=10,"P3 Integrate","P4 Package")))</f>
        <v/>
      </c>
      <c r="H23" s="9" t="n">
        <v>6</v>
      </c>
      <c r="I23" s="9" t="n">
        <v>8</v>
      </c>
      <c r="J23" s="6" t="inlineStr">
        <is>
          <t>A1, A2</t>
        </is>
      </c>
      <c r="K23" s="6" t="inlineStr"/>
      <c r="L23" s="6" t="inlineStr">
        <is>
          <t>W6</t>
        </is>
      </c>
      <c r="M23" s="13" t="inlineStr"/>
      <c r="N23" s="16" t="inlineStr">
        <is>
          <t>Not started</t>
        </is>
      </c>
      <c r="O23" s="13" t="inlineStr"/>
    </row>
    <row r="24">
      <c r="A24" s="14" t="inlineStr">
        <is>
          <t>A7</t>
        </is>
      </c>
      <c r="B24" s="18" t="inlineStr">
        <is>
          <t>Architecture</t>
        </is>
      </c>
      <c r="C24" s="6" t="inlineStr">
        <is>
          <t>3D modelling</t>
        </is>
      </c>
      <c r="D24" s="6" t="inlineStr">
        <is>
          <t>Flythrough or storyboard for the 5-minute video</t>
        </is>
      </c>
      <c r="E24" s="6" t="inlineStr">
        <is>
          <t>Clip or storyboard</t>
        </is>
      </c>
      <c r="F24" s="9" t="inlineStr">
        <is>
          <t>Stretch</t>
        </is>
      </c>
      <c r="G24" s="9">
        <f>IF(H24&lt;=3,"P1 Set-up",IF(H24&lt;=7,"P2 Build",IF(H24&lt;=10,"P3 Integrate","P4 Package")))</f>
        <v/>
      </c>
      <c r="H24" s="9" t="n">
        <v>9</v>
      </c>
      <c r="I24" s="9" t="n">
        <v>11</v>
      </c>
      <c r="J24" s="6" t="inlineStr">
        <is>
          <t>A4, A6</t>
        </is>
      </c>
      <c r="K24" s="6" t="inlineStr"/>
      <c r="L24" s="6" t="inlineStr">
        <is>
          <t>W8</t>
        </is>
      </c>
      <c r="M24" s="13" t="inlineStr"/>
      <c r="N24" s="16" t="inlineStr">
        <is>
          <t>Not started</t>
        </is>
      </c>
      <c r="O24" s="13" t="inlineStr"/>
    </row>
    <row r="25">
      <c r="A25" s="14" t="inlineStr">
        <is>
          <t>M2</t>
        </is>
      </c>
      <c r="B25" s="19" t="inlineStr">
        <is>
          <t>Mechanical</t>
        </is>
      </c>
      <c r="C25" s="6" t="inlineStr">
        <is>
          <t>Hydrology</t>
        </is>
      </c>
      <c r="D25" s="6" t="inlineStr">
        <is>
          <t>Design inputs from MSMA 2: rainfall intensity for design storm, runoff coefficients, time of concentration (note outdated curves)</t>
        </is>
      </c>
      <c r="E25" s="6" t="inlineStr">
        <is>
          <t>Parameter table with sources</t>
        </is>
      </c>
      <c r="F25" s="9" t="inlineStr">
        <is>
          <t>Core</t>
        </is>
      </c>
      <c r="G25" s="9">
        <f>IF(H25&lt;=3,"P1 Set-up",IF(H25&lt;=7,"P2 Build",IF(H25&lt;=10,"P3 Integrate","P4 Package")))</f>
        <v/>
      </c>
      <c r="H25" s="9" t="n">
        <v>1</v>
      </c>
      <c r="I25" s="9" t="n">
        <v>3</v>
      </c>
      <c r="J25" s="6" t="inlineStr">
        <is>
          <t>D2</t>
        </is>
      </c>
      <c r="K25" s="6" t="inlineStr"/>
      <c r="L25" s="6" t="inlineStr">
        <is>
          <t>D3, M3</t>
        </is>
      </c>
      <c r="M25" s="13" t="inlineStr"/>
      <c r="N25" s="16" t="inlineStr">
        <is>
          <t>Not started</t>
        </is>
      </c>
      <c r="O25" s="13" t="inlineStr"/>
    </row>
    <row r="26">
      <c r="A26" s="14" t="inlineStr">
        <is>
          <t>M8</t>
        </is>
      </c>
      <c r="B26" s="19" t="inlineStr">
        <is>
          <t>Mechanical</t>
        </is>
      </c>
      <c r="C26" s="6" t="inlineStr">
        <is>
          <t>Governance</t>
        </is>
      </c>
      <c r="D26" s="6" t="inlineStr">
        <is>
          <t>Maintain the assumption ledger</t>
        </is>
      </c>
      <c r="E26" s="6" t="inlineStr">
        <is>
          <t>Assumption Ledger sheet</t>
        </is>
      </c>
      <c r="F26" s="9" t="inlineStr">
        <is>
          <t>Core</t>
        </is>
      </c>
      <c r="G26" s="9">
        <f>IF(H26&lt;=3,"P1 Set-up",IF(H26&lt;=7,"P2 Build",IF(H26&lt;=10,"P3 Integrate","P4 Package")))</f>
        <v/>
      </c>
      <c r="H26" s="9" t="n">
        <v>1</v>
      </c>
      <c r="I26" s="9" t="n">
        <v>13</v>
      </c>
      <c r="J26" s="6" t="inlineStr"/>
      <c r="K26" s="6" t="inlineStr">
        <is>
          <t>All</t>
        </is>
      </c>
      <c r="L26" s="6" t="inlineStr">
        <is>
          <t>All</t>
        </is>
      </c>
      <c r="M26" s="13" t="inlineStr"/>
      <c r="N26" s="16" t="inlineStr">
        <is>
          <t>Not started</t>
        </is>
      </c>
      <c r="O26" s="13" t="inlineStr"/>
    </row>
    <row r="27">
      <c r="A27" s="14" t="inlineStr">
        <is>
          <t>M1</t>
        </is>
      </c>
      <c r="B27" s="19" t="inlineStr">
        <is>
          <t>Mechanical</t>
        </is>
      </c>
      <c r="C27" s="6" t="inlineStr">
        <is>
          <t>Hydrology</t>
        </is>
      </c>
      <c r="D27" s="6" t="inlineStr">
        <is>
          <t>Review catchment: area, slope, flow paths; confirm the Setia Alam contribution is plausible</t>
        </is>
      </c>
      <c r="E27" s="6" t="inlineStr">
        <is>
          <t>Approved catchment and note</t>
        </is>
      </c>
      <c r="F27" s="9" t="inlineStr">
        <is>
          <t>Core</t>
        </is>
      </c>
      <c r="G27" s="9">
        <f>IF(H27&lt;=3,"P1 Set-up",IF(H27&lt;=7,"P2 Build",IF(H27&lt;=10,"P3 Integrate","P4 Package")))</f>
        <v/>
      </c>
      <c r="H27" s="9" t="n">
        <v>3</v>
      </c>
      <c r="I27" s="9" t="n">
        <v>4</v>
      </c>
      <c r="J27" s="6" t="inlineStr">
        <is>
          <t>D3, D6</t>
        </is>
      </c>
      <c r="K27" s="6" t="inlineStr">
        <is>
          <t>EE-1 (catchment)</t>
        </is>
      </c>
      <c r="L27" s="6" t="inlineStr">
        <is>
          <t>M3</t>
        </is>
      </c>
      <c r="M27" s="13" t="inlineStr"/>
      <c r="N27" s="16" t="inlineStr">
        <is>
          <t>Not started</t>
        </is>
      </c>
      <c r="O27" s="13" t="inlineStr"/>
    </row>
    <row r="28">
      <c r="A28" s="14" t="inlineStr">
        <is>
          <t>M3</t>
        </is>
      </c>
      <c r="B28" s="19" t="inlineStr">
        <is>
          <t>Mechanical</t>
        </is>
      </c>
      <c r="C28" s="6" t="inlineStr">
        <is>
          <t>Hydrology</t>
        </is>
      </c>
      <c r="D28" s="6" t="inlineStr">
        <is>
          <t>Compute storage required for the design storm as low, central and high values</t>
        </is>
      </c>
      <c r="E28" s="6" t="inlineStr">
        <is>
          <t>Storage-required table</t>
        </is>
      </c>
      <c r="F28" s="9" t="inlineStr">
        <is>
          <t>Core</t>
        </is>
      </c>
      <c r="G28" s="9">
        <f>IF(H28&lt;=3,"P1 Set-up",IF(H28&lt;=7,"P2 Build",IF(H28&lt;=10,"P3 Integrate","P4 Package")))</f>
        <v/>
      </c>
      <c r="H28" s="9" t="n">
        <v>3</v>
      </c>
      <c r="I28" s="9" t="n">
        <v>5</v>
      </c>
      <c r="J28" s="6" t="inlineStr">
        <is>
          <t>M1, M2</t>
        </is>
      </c>
      <c r="K28" s="6" t="inlineStr"/>
      <c r="L28" s="6" t="inlineStr">
        <is>
          <t>M4, M5, A3</t>
        </is>
      </c>
      <c r="M28" s="13" t="inlineStr"/>
      <c r="N28" s="16" t="inlineStr">
        <is>
          <t>Not started</t>
        </is>
      </c>
      <c r="O28" s="13" t="inlineStr"/>
    </row>
    <row r="29">
      <c r="A29" s="14" t="inlineStr">
        <is>
          <t>M4</t>
        </is>
      </c>
      <c r="B29" s="19" t="inlineStr">
        <is>
          <t>Mechanical</t>
        </is>
      </c>
      <c r="C29" s="6" t="inlineStr">
        <is>
          <t>Hydrology</t>
        </is>
      </c>
      <c r="D29" s="6" t="inlineStr">
        <is>
          <t>Pond what-if engine: volume balance for given area and depth (optionally routed)</t>
        </is>
      </c>
      <c r="E29" s="6" t="inlineStr">
        <is>
          <t>Validated formulas and test cases</t>
        </is>
      </c>
      <c r="F29" s="9" t="inlineStr">
        <is>
          <t>Core</t>
        </is>
      </c>
      <c r="G29" s="9">
        <f>IF(H29&lt;=3,"P1 Set-up",IF(H29&lt;=7,"P2 Build",IF(H29&lt;=10,"P3 Integrate","P4 Package")))</f>
        <v/>
      </c>
      <c r="H29" s="9" t="n">
        <v>4</v>
      </c>
      <c r="I29" s="9" t="n">
        <v>6</v>
      </c>
      <c r="J29" s="6" t="inlineStr">
        <is>
          <t>M3</t>
        </is>
      </c>
      <c r="K29" s="6" t="inlineStr"/>
      <c r="L29" s="6" t="inlineStr">
        <is>
          <t>W3, A3</t>
        </is>
      </c>
      <c r="M29" s="13" t="inlineStr"/>
      <c r="N29" s="16" t="inlineStr">
        <is>
          <t>Not started</t>
        </is>
      </c>
      <c r="O29" s="13" t="inlineStr"/>
    </row>
    <row r="30">
      <c r="A30" s="14" t="inlineStr">
        <is>
          <t>M5</t>
        </is>
      </c>
      <c r="B30" s="19" t="inlineStr">
        <is>
          <t>Mechanical</t>
        </is>
      </c>
      <c r="C30" s="6" t="inlineStr">
        <is>
          <t>Hydrology</t>
        </is>
      </c>
      <c r="D30" s="6" t="inlineStr">
        <is>
          <t>Reconcile existing storage (Townpark 16,000 / 34,000 / 50,000 m3; Taman Mutiara about 2 ha) against requirement</t>
        </is>
      </c>
      <c r="E30" s="6" t="inlineStr">
        <is>
          <t>Storage-gap table with ranges</t>
        </is>
      </c>
      <c r="F30" s="9" t="inlineStr">
        <is>
          <t>Core</t>
        </is>
      </c>
      <c r="G30" s="9">
        <f>IF(H30&lt;=3,"P1 Set-up",IF(H30&lt;=7,"P2 Build",IF(H30&lt;=10,"P3 Integrate","P4 Package")))</f>
        <v/>
      </c>
      <c r="H30" s="9" t="n">
        <v>5</v>
      </c>
      <c r="I30" s="9" t="n">
        <v>6</v>
      </c>
      <c r="J30" s="6" t="inlineStr">
        <is>
          <t>M3, M4</t>
        </is>
      </c>
      <c r="K30" s="6" t="inlineStr"/>
      <c r="L30" s="6" t="inlineStr">
        <is>
          <t>A4, S8</t>
        </is>
      </c>
      <c r="M30" s="13" t="inlineStr"/>
      <c r="N30" s="16" t="inlineStr">
        <is>
          <t>Not started</t>
        </is>
      </c>
      <c r="O30" s="13" t="inlineStr"/>
    </row>
    <row r="31">
      <c r="A31" s="14" t="inlineStr">
        <is>
          <t>M6</t>
        </is>
      </c>
      <c r="B31" s="19" t="inlineStr">
        <is>
          <t>Mechanical</t>
        </is>
      </c>
      <c r="C31" s="6" t="inlineStr">
        <is>
          <t>Analysis</t>
        </is>
      </c>
      <c r="D31" s="6" t="inlineStr">
        <is>
          <t>Sensitivity analysis: rainfall, runoff, pond depth, terrain error</t>
        </is>
      </c>
      <c r="E31" s="6" t="inlineStr">
        <is>
          <t>One-page chart and table</t>
        </is>
      </c>
      <c r="F31" s="9" t="inlineStr">
        <is>
          <t>Core</t>
        </is>
      </c>
      <c r="G31" s="9">
        <f>IF(H31&lt;=3,"P1 Set-up",IF(H31&lt;=7,"P2 Build",IF(H31&lt;=10,"P3 Integrate","P4 Package")))</f>
        <v/>
      </c>
      <c r="H31" s="9" t="n">
        <v>7</v>
      </c>
      <c r="I31" s="9" t="n">
        <v>8</v>
      </c>
      <c r="J31" s="6" t="inlineStr">
        <is>
          <t>M5</t>
        </is>
      </c>
      <c r="K31" s="6" t="inlineStr"/>
      <c r="L31" s="6" t="inlineStr">
        <is>
          <t>S8</t>
        </is>
      </c>
      <c r="M31" s="13" t="inlineStr"/>
      <c r="N31" s="16" t="inlineStr">
        <is>
          <t>Not started</t>
        </is>
      </c>
      <c r="O31" s="13" t="inlineStr"/>
    </row>
    <row r="32">
      <c r="A32" s="14" t="inlineStr">
        <is>
          <t>M7</t>
        </is>
      </c>
      <c r="B32" s="19" t="inlineStr">
        <is>
          <t>Mechanical</t>
        </is>
      </c>
      <c r="C32" s="6" t="inlineStr">
        <is>
          <t>Validation</t>
        </is>
      </c>
      <c r="D32" s="6" t="inlineStr">
        <is>
          <t>Plausibility back-test against documented floods (Dec 2021, Jun 2023, Apr 2024); report honestly, do not tune</t>
        </is>
      </c>
      <c r="E32" s="6" t="inlineStr">
        <is>
          <t>Short note</t>
        </is>
      </c>
      <c r="F32" s="9" t="inlineStr">
        <is>
          <t>Core</t>
        </is>
      </c>
      <c r="G32" s="9">
        <f>IF(H32&lt;=3,"P1 Set-up",IF(H32&lt;=7,"P2 Build",IF(H32&lt;=10,"P3 Integrate","P4 Package")))</f>
        <v/>
      </c>
      <c r="H32" s="9" t="n">
        <v>7</v>
      </c>
      <c r="I32" s="9" t="n">
        <v>8</v>
      </c>
      <c r="J32" s="6" t="inlineStr">
        <is>
          <t>M5, S3</t>
        </is>
      </c>
      <c r="K32" s="6" t="inlineStr">
        <is>
          <t>EE-3 (flood spots)</t>
        </is>
      </c>
      <c r="L32" s="6" t="inlineStr">
        <is>
          <t>S4, S8</t>
        </is>
      </c>
      <c r="M32" s="13" t="inlineStr"/>
      <c r="N32" s="16" t="inlineStr">
        <is>
          <t>Not started</t>
        </is>
      </c>
      <c r="O32" s="13" t="inlineStr"/>
    </row>
    <row r="33">
      <c r="A33" s="14" t="inlineStr">
        <is>
          <t>M9</t>
        </is>
      </c>
      <c r="B33" s="19" t="inlineStr">
        <is>
          <t>Mechanical</t>
        </is>
      </c>
      <c r="C33" s="6" t="inlineStr">
        <is>
          <t>Hydrology</t>
        </is>
      </c>
      <c r="D33" s="6" t="inlineStr">
        <is>
          <t>Stretch: simple rainfall-runoff model of the sub-catchment (e.g. HEC-HMS)</t>
        </is>
      </c>
      <c r="E33" s="6" t="inlineStr">
        <is>
          <t>Run and notes</t>
        </is>
      </c>
      <c r="F33" s="9" t="inlineStr">
        <is>
          <t>Stretch</t>
        </is>
      </c>
      <c r="G33" s="9">
        <f>IF(H33&lt;=3,"P1 Set-up",IF(H33&lt;=7,"P2 Build",IF(H33&lt;=10,"P3 Integrate","P4 Package")))</f>
        <v/>
      </c>
      <c r="H33" s="9" t="n">
        <v>8</v>
      </c>
      <c r="I33" s="9" t="n">
        <v>10</v>
      </c>
      <c r="J33" s="6" t="inlineStr">
        <is>
          <t>M5</t>
        </is>
      </c>
      <c r="K33" s="6" t="inlineStr"/>
      <c r="L33" s="6" t="inlineStr">
        <is>
          <t>S8</t>
        </is>
      </c>
      <c r="M33" s="13" t="inlineStr"/>
      <c r="N33" s="16" t="inlineStr">
        <is>
          <t>Not started</t>
        </is>
      </c>
      <c r="O33" s="13" t="inlineStr"/>
    </row>
    <row r="34">
      <c r="A34" s="14" t="inlineStr">
        <is>
          <t>W1</t>
        </is>
      </c>
      <c r="B34" s="20" t="inlineStr">
        <is>
          <t>EE-2 Dashboard</t>
        </is>
      </c>
      <c r="C34" s="6" t="inlineStr">
        <is>
          <t>Dashboard</t>
        </is>
      </c>
      <c r="D34" s="6" t="inlineStr">
        <is>
          <t>Dashboard skeleton and layout using the style sheet</t>
        </is>
      </c>
      <c r="E34" s="6" t="inlineStr">
        <is>
          <t>Working shell</t>
        </is>
      </c>
      <c r="F34" s="9" t="inlineStr">
        <is>
          <t>Core</t>
        </is>
      </c>
      <c r="G34" s="9">
        <f>IF(H34&lt;=3,"P1 Set-up",IF(H34&lt;=7,"P2 Build",IF(H34&lt;=10,"P3 Integrate","P4 Package")))</f>
        <v/>
      </c>
      <c r="H34" s="9" t="n">
        <v>3</v>
      </c>
      <c r="I34" s="9" t="n">
        <v>4</v>
      </c>
      <c r="J34" s="6" t="inlineStr">
        <is>
          <t>A8</t>
        </is>
      </c>
      <c r="K34" s="6" t="inlineStr">
        <is>
          <t>Architecture (style)</t>
        </is>
      </c>
      <c r="L34" s="6" t="inlineStr">
        <is>
          <t>W2</t>
        </is>
      </c>
      <c r="M34" s="13" t="inlineStr"/>
      <c r="N34" s="16" t="inlineStr">
        <is>
          <t>Not started</t>
        </is>
      </c>
      <c r="O34" s="13" t="inlineStr"/>
    </row>
    <row r="35">
      <c r="A35" s="14" t="inlineStr">
        <is>
          <t>W2</t>
        </is>
      </c>
      <c r="B35" s="20" t="inlineStr">
        <is>
          <t>EE-2 Dashboard</t>
        </is>
      </c>
      <c r="C35" s="6" t="inlineStr">
        <is>
          <t>Dashboard</t>
        </is>
      </c>
      <c r="D35" s="6" t="inlineStr">
        <is>
          <t>Screen 1: catchment map with flood-spot overlay and robust-hotspot layer</t>
        </is>
      </c>
      <c r="E35" s="6" t="inlineStr">
        <is>
          <t>Screen 1</t>
        </is>
      </c>
      <c r="F35" s="9" t="inlineStr">
        <is>
          <t>Core</t>
        </is>
      </c>
      <c r="G35" s="9">
        <f>IF(H35&lt;=3,"P1 Set-up",IF(H35&lt;=7,"P2 Build",IF(H35&lt;=10,"P3 Integrate","P4 Package")))</f>
        <v/>
      </c>
      <c r="H35" s="9" t="n">
        <v>5</v>
      </c>
      <c r="I35" s="9" t="n">
        <v>6</v>
      </c>
      <c r="J35" s="6" t="inlineStr">
        <is>
          <t>W1, D4, D5, S3</t>
        </is>
      </c>
      <c r="K35" s="6" t="inlineStr">
        <is>
          <t>EE-1 (layers)</t>
        </is>
      </c>
      <c r="L35" s="6" t="inlineStr">
        <is>
          <t>W7</t>
        </is>
      </c>
      <c r="M35" s="13" t="inlineStr"/>
      <c r="N35" s="16" t="inlineStr">
        <is>
          <t>Not started</t>
        </is>
      </c>
      <c r="O35" s="13" t="inlineStr"/>
    </row>
    <row r="36">
      <c r="A36" s="14" t="inlineStr">
        <is>
          <t>W3</t>
        </is>
      </c>
      <c r="B36" s="20" t="inlineStr">
        <is>
          <t>EE-2 Dashboard</t>
        </is>
      </c>
      <c r="C36" s="6" t="inlineStr">
        <is>
          <t>Dashboard</t>
        </is>
      </c>
      <c r="D36" s="6" t="inlineStr">
        <is>
          <t>Screen 2: pond what-if with sliders; implement Mechanical formulas</t>
        </is>
      </c>
      <c r="E36" s="6" t="inlineStr">
        <is>
          <t>Screen 2</t>
        </is>
      </c>
      <c r="F36" s="9" t="inlineStr">
        <is>
          <t>Core</t>
        </is>
      </c>
      <c r="G36" s="9">
        <f>IF(H36&lt;=3,"P1 Set-up",IF(H36&lt;=7,"P2 Build",IF(H36&lt;=10,"P3 Integrate","P4 Package")))</f>
        <v/>
      </c>
      <c r="H36" s="9" t="n">
        <v>6</v>
      </c>
      <c r="I36" s="9" t="n">
        <v>8</v>
      </c>
      <c r="J36" s="6" t="inlineStr">
        <is>
          <t>M4, A3, W1</t>
        </is>
      </c>
      <c r="K36" s="6" t="inlineStr">
        <is>
          <t>Mechanical (formulas)</t>
        </is>
      </c>
      <c r="L36" s="6" t="inlineStr">
        <is>
          <t>W7</t>
        </is>
      </c>
      <c r="M36" s="13" t="inlineStr"/>
      <c r="N36" s="16" t="inlineStr">
        <is>
          <t>Not started</t>
        </is>
      </c>
      <c r="O36" s="13" t="inlineStr"/>
    </row>
    <row r="37">
      <c r="A37" s="14" t="inlineStr">
        <is>
          <t>W4</t>
        </is>
      </c>
      <c r="B37" s="20" t="inlineStr">
        <is>
          <t>EE-2 Dashboard</t>
        </is>
      </c>
      <c r="C37" s="6" t="inlineStr">
        <is>
          <t>Dashboard</t>
        </is>
      </c>
      <c r="D37" s="6" t="inlineStr">
        <is>
          <t>Screen 3: responsibility panel (agency, contact, confidence label)</t>
        </is>
      </c>
      <c r="E37" s="6" t="inlineStr">
        <is>
          <t>Screen 3</t>
        </is>
      </c>
      <c r="F37" s="9" t="inlineStr">
        <is>
          <t>Core</t>
        </is>
      </c>
      <c r="G37" s="9">
        <f>IF(H37&lt;=3,"P1 Set-up",IF(H37&lt;=7,"P2 Build",IF(H37&lt;=10,"P3 Integrate","P4 Package")))</f>
        <v/>
      </c>
      <c r="H37" s="9" t="n">
        <v>6</v>
      </c>
      <c r="I37" s="9" t="n">
        <v>7</v>
      </c>
      <c r="J37" s="6" t="inlineStr">
        <is>
          <t>S5, W1</t>
        </is>
      </c>
      <c r="K37" s="6" t="inlineStr">
        <is>
          <t>EE-3 (template)</t>
        </is>
      </c>
      <c r="L37" s="6" t="inlineStr">
        <is>
          <t>W8</t>
        </is>
      </c>
      <c r="M37" s="13" t="inlineStr"/>
      <c r="N37" s="16" t="inlineStr">
        <is>
          <t>Not started</t>
        </is>
      </c>
      <c r="O37" s="13" t="inlineStr"/>
    </row>
    <row r="38">
      <c r="A38" s="14" t="inlineStr">
        <is>
          <t>W5</t>
        </is>
      </c>
      <c r="B38" s="20" t="inlineStr">
        <is>
          <t>EE-2 Dashboard</t>
        </is>
      </c>
      <c r="C38" s="6" t="inlineStr">
        <is>
          <t>Advisory</t>
        </is>
      </c>
      <c r="D38" s="6" t="inlineStr">
        <is>
          <t>Screen 4: advisory prototype from official MET Malaysia warnings; label 'advisory, not a forecast'</t>
        </is>
      </c>
      <c r="E38" s="6" t="inlineStr">
        <is>
          <t>Screen 4</t>
        </is>
      </c>
      <c r="F38" s="9" t="inlineStr">
        <is>
          <t>Core</t>
        </is>
      </c>
      <c r="G38" s="9">
        <f>IF(H38&lt;=3,"P1 Set-up",IF(H38&lt;=7,"P2 Build",IF(H38&lt;=10,"P3 Integrate","P4 Package")))</f>
        <v/>
      </c>
      <c r="H38" s="9" t="n">
        <v>7</v>
      </c>
      <c r="I38" s="9" t="n">
        <v>9</v>
      </c>
      <c r="J38" s="6" t="inlineStr">
        <is>
          <t>W1</t>
        </is>
      </c>
      <c r="K38" s="6" t="inlineStr"/>
      <c r="L38" s="6" t="inlineStr">
        <is>
          <t>W8</t>
        </is>
      </c>
      <c r="M38" s="13" t="inlineStr"/>
      <c r="N38" s="16" t="inlineStr">
        <is>
          <t>Not started</t>
        </is>
      </c>
      <c r="O38" s="13" t="inlineStr"/>
    </row>
    <row r="39">
      <c r="A39" s="14" t="inlineStr">
        <is>
          <t>W6</t>
        </is>
      </c>
      <c r="B39" s="20" t="inlineStr">
        <is>
          <t>EE-2 Dashboard</t>
        </is>
      </c>
      <c r="C39" s="6" t="inlineStr">
        <is>
          <t>Dashboard</t>
        </is>
      </c>
      <c r="D39" s="6" t="inlineStr">
        <is>
          <t>Embed the 3D viewer (GLB models)</t>
        </is>
      </c>
      <c r="E39" s="6" t="inlineStr">
        <is>
          <t>Working 3D view</t>
        </is>
      </c>
      <c r="F39" s="9" t="inlineStr">
        <is>
          <t>Core</t>
        </is>
      </c>
      <c r="G39" s="9">
        <f>IF(H39&lt;=3,"P1 Set-up",IF(H39&lt;=7,"P2 Build",IF(H39&lt;=10,"P3 Integrate","P4 Package")))</f>
        <v/>
      </c>
      <c r="H39" s="9" t="n">
        <v>8</v>
      </c>
      <c r="I39" s="9" t="n">
        <v>9</v>
      </c>
      <c r="J39" s="6" t="inlineStr">
        <is>
          <t>A6, A5, A4</t>
        </is>
      </c>
      <c r="K39" s="6" t="inlineStr">
        <is>
          <t>Architecture (GLB)</t>
        </is>
      </c>
      <c r="L39" s="6" t="inlineStr">
        <is>
          <t>W8</t>
        </is>
      </c>
      <c r="M39" s="13" t="inlineStr"/>
      <c r="N39" s="16" t="inlineStr">
        <is>
          <t>Not started</t>
        </is>
      </c>
      <c r="O39" s="13" t="inlineStr"/>
    </row>
    <row r="40">
      <c r="A40" s="14" t="inlineStr">
        <is>
          <t>W7</t>
        </is>
      </c>
      <c r="B40" s="20" t="inlineStr">
        <is>
          <t>EE-2 Dashboard</t>
        </is>
      </c>
      <c r="C40" s="6" t="inlineStr">
        <is>
          <t>Validation</t>
        </is>
      </c>
      <c r="D40" s="6" t="inlineStr">
        <is>
          <t>Verify dashboard formulas against hand calculations</t>
        </is>
      </c>
      <c r="E40" s="6" t="inlineStr">
        <is>
          <t>Test log</t>
        </is>
      </c>
      <c r="F40" s="9" t="inlineStr">
        <is>
          <t>Core</t>
        </is>
      </c>
      <c r="G40" s="9">
        <f>IF(H40&lt;=3,"P1 Set-up",IF(H40&lt;=7,"P2 Build",IF(H40&lt;=10,"P3 Integrate","P4 Package")))</f>
        <v/>
      </c>
      <c r="H40" s="9" t="n">
        <v>8</v>
      </c>
      <c r="I40" s="9" t="n">
        <v>9</v>
      </c>
      <c r="J40" s="6" t="inlineStr">
        <is>
          <t>W3, M4</t>
        </is>
      </c>
      <c r="K40" s="6" t="inlineStr">
        <is>
          <t>Mechanical (test cases)</t>
        </is>
      </c>
      <c r="L40" s="6" t="inlineStr">
        <is>
          <t>W8</t>
        </is>
      </c>
      <c r="M40" s="13" t="inlineStr"/>
      <c r="N40" s="16" t="inlineStr">
        <is>
          <t>Not started</t>
        </is>
      </c>
      <c r="O40" s="13" t="inlineStr"/>
    </row>
    <row r="41">
      <c r="A41" s="14" t="inlineStr">
        <is>
          <t>W8</t>
        </is>
      </c>
      <c r="B41" s="20" t="inlineStr">
        <is>
          <t>EE-2 Dashboard</t>
        </is>
      </c>
      <c r="C41" s="6" t="inlineStr">
        <is>
          <t>Demo</t>
        </is>
      </c>
      <c r="D41" s="6" t="inlineStr">
        <is>
          <t>Package the demo and record the 5-minute video</t>
        </is>
      </c>
      <c r="E41" s="6" t="inlineStr">
        <is>
          <t>Video link and demo build</t>
        </is>
      </c>
      <c r="F41" s="9" t="inlineStr">
        <is>
          <t>Core</t>
        </is>
      </c>
      <c r="G41" s="9">
        <f>IF(H41&lt;=3,"P1 Set-up",IF(H41&lt;=7,"P2 Build",IF(H41&lt;=10,"P3 Integrate","P4 Package")))</f>
        <v/>
      </c>
      <c r="H41" s="9" t="n">
        <v>10</v>
      </c>
      <c r="I41" s="9" t="n">
        <v>12</v>
      </c>
      <c r="J41" s="6" t="inlineStr">
        <is>
          <t>W2-W7, A7</t>
        </is>
      </c>
      <c r="K41" s="6" t="inlineStr"/>
      <c r="L41" s="6" t="inlineStr">
        <is>
          <t>G5</t>
        </is>
      </c>
      <c r="M41" s="13" t="inlineStr"/>
      <c r="N41" s="16" t="inlineStr">
        <is>
          <t>Not started</t>
        </is>
      </c>
      <c r="O41" s="13" t="inlineStr"/>
    </row>
    <row r="42">
      <c r="A42" s="14" t="inlineStr">
        <is>
          <t>S1</t>
        </is>
      </c>
      <c r="B42" s="21" t="inlineStr">
        <is>
          <t>EE-3 Evidence &amp; Pitch</t>
        </is>
      </c>
      <c r="C42" s="6" t="inlineStr">
        <is>
          <t>Survey</t>
        </is>
      </c>
      <c r="D42" s="6" t="inlineStr">
        <is>
          <t>Build and launch the resident survey (English and Bahasa Malaysia; privacy line; flood and 'whom do you contact' questions)</t>
        </is>
      </c>
      <c r="E42" s="6" t="inlineStr">
        <is>
          <t>Live survey link</t>
        </is>
      </c>
      <c r="F42" s="9" t="inlineStr">
        <is>
          <t>Core</t>
        </is>
      </c>
      <c r="G42" s="9">
        <f>IF(H42&lt;=3,"P1 Set-up",IF(H42&lt;=7,"P2 Build",IF(H42&lt;=10,"P3 Integrate","P4 Package")))</f>
        <v/>
      </c>
      <c r="H42" s="9" t="n">
        <v>1</v>
      </c>
      <c r="I42" s="9" t="n">
        <v>2</v>
      </c>
      <c r="J42" s="6" t="inlineStr"/>
      <c r="K42" s="6" t="inlineStr"/>
      <c r="L42" s="6" t="inlineStr">
        <is>
          <t>S2</t>
        </is>
      </c>
      <c r="M42" s="13" t="inlineStr"/>
      <c r="N42" s="16" t="inlineStr">
        <is>
          <t>Not started</t>
        </is>
      </c>
      <c r="O42" s="13" t="inlineStr"/>
    </row>
    <row r="43">
      <c r="A43" s="14" t="inlineStr">
        <is>
          <t>S3</t>
        </is>
      </c>
      <c r="B43" s="21" t="inlineStr">
        <is>
          <t>EE-3 Evidence &amp; Pitch</t>
        </is>
      </c>
      <c r="C43" s="6" t="inlineStr">
        <is>
          <t>Evidence</t>
        </is>
      </c>
      <c r="D43" s="6" t="inlineStr">
        <is>
          <t>Compile documented flood spots: street, date, depth, source</t>
        </is>
      </c>
      <c r="E43" s="6" t="inlineStr">
        <is>
          <t>Flood-spot table (CSV)</t>
        </is>
      </c>
      <c r="F43" s="9" t="inlineStr">
        <is>
          <t>Core</t>
        </is>
      </c>
      <c r="G43" s="9">
        <f>IF(H43&lt;=3,"P1 Set-up",IF(H43&lt;=7,"P2 Build",IF(H43&lt;=10,"P3 Integrate","P4 Package")))</f>
        <v/>
      </c>
      <c r="H43" s="9" t="n">
        <v>1</v>
      </c>
      <c r="I43" s="9" t="n">
        <v>3</v>
      </c>
      <c r="J43" s="6" t="inlineStr"/>
      <c r="K43" s="6" t="inlineStr">
        <is>
          <t>Public press and residents</t>
        </is>
      </c>
      <c r="L43" s="6" t="inlineStr">
        <is>
          <t>D4, M7, W2, S4</t>
        </is>
      </c>
      <c r="M43" s="13" t="inlineStr"/>
      <c r="N43" s="16" t="inlineStr">
        <is>
          <t>Not started</t>
        </is>
      </c>
      <c r="O43" s="13" t="inlineStr"/>
    </row>
    <row r="44">
      <c r="A44" s="14" t="inlineStr">
        <is>
          <t>S6</t>
        </is>
      </c>
      <c r="B44" s="21" t="inlineStr">
        <is>
          <t>EE-3 Evidence &amp; Pitch</t>
        </is>
      </c>
      <c r="C44" s="6" t="inlineStr">
        <is>
          <t>Governance</t>
        </is>
      </c>
      <c r="D44" s="6" t="inlineStr">
        <is>
          <t>Maintain sources-and-licences list (data and API terms)</t>
        </is>
      </c>
      <c r="E44" s="6" t="inlineStr">
        <is>
          <t>Sources sheet / appendix</t>
        </is>
      </c>
      <c r="F44" s="9" t="inlineStr">
        <is>
          <t>Core</t>
        </is>
      </c>
      <c r="G44" s="9">
        <f>IF(H44&lt;=3,"P1 Set-up",IF(H44&lt;=7,"P2 Build",IF(H44&lt;=10,"P3 Integrate","P4 Package")))</f>
        <v/>
      </c>
      <c r="H44" s="9" t="n">
        <v>1</v>
      </c>
      <c r="I44" s="9" t="n">
        <v>13</v>
      </c>
      <c r="J44" s="6" t="inlineStr"/>
      <c r="K44" s="6" t="inlineStr">
        <is>
          <t>All</t>
        </is>
      </c>
      <c r="L44" s="6" t="inlineStr">
        <is>
          <t>S8</t>
        </is>
      </c>
      <c r="M44" s="13" t="inlineStr"/>
      <c r="N44" s="16" t="inlineStr">
        <is>
          <t>Not started</t>
        </is>
      </c>
      <c r="O44" s="13" t="inlineStr"/>
    </row>
    <row r="45">
      <c r="A45" s="14" t="inlineStr">
        <is>
          <t>S5</t>
        </is>
      </c>
      <c r="B45" s="21" t="inlineStr">
        <is>
          <t>EE-3 Evidence &amp; Pitch</t>
        </is>
      </c>
      <c r="C45" s="6" t="inlineStr">
        <is>
          <t>Evidence</t>
        </is>
      </c>
      <c r="D45" s="6" t="inlineStr">
        <is>
          <t>Responsibility-map template; fill only with documented facts; mark confidence</t>
        </is>
      </c>
      <c r="E45" s="6" t="inlineStr">
        <is>
          <t>Template and entries</t>
        </is>
      </c>
      <c r="F45" s="9" t="inlineStr">
        <is>
          <t>Core</t>
        </is>
      </c>
      <c r="G45" s="9">
        <f>IF(H45&lt;=3,"P1 Set-up",IF(H45&lt;=7,"P2 Build",IF(H45&lt;=10,"P3 Integrate","P4 Package")))</f>
        <v/>
      </c>
      <c r="H45" s="9" t="n">
        <v>4</v>
      </c>
      <c r="I45" s="9" t="n">
        <v>6</v>
      </c>
      <c r="J45" s="6" t="inlineStr">
        <is>
          <t>S3</t>
        </is>
      </c>
      <c r="K45" s="6" t="inlineStr"/>
      <c r="L45" s="6" t="inlineStr">
        <is>
          <t>W4</t>
        </is>
      </c>
      <c r="M45" s="13" t="inlineStr"/>
      <c r="N45" s="16" t="inlineStr">
        <is>
          <t>Not started</t>
        </is>
      </c>
      <c r="O45" s="13" t="inlineStr"/>
    </row>
    <row r="46">
      <c r="A46" s="14" t="inlineStr">
        <is>
          <t>S4</t>
        </is>
      </c>
      <c r="B46" s="21" t="inlineStr">
        <is>
          <t>EE-3 Evidence &amp; Pitch</t>
        </is>
      </c>
      <c r="C46" s="6" t="inlineStr">
        <is>
          <t>Validation</t>
        </is>
      </c>
      <c r="D46" s="6" t="inlineStr">
        <is>
          <t>Back-test: share of documented flood spots flagged high-risk (hit rate, X of Y)</t>
        </is>
      </c>
      <c r="E46" s="6" t="inlineStr">
        <is>
          <t>Hit-rate result</t>
        </is>
      </c>
      <c r="F46" s="9" t="inlineStr">
        <is>
          <t>Core</t>
        </is>
      </c>
      <c r="G46" s="9">
        <f>IF(H46&lt;=3,"P1 Set-up",IF(H46&lt;=7,"P2 Build",IF(H46&lt;=10,"P3 Integrate","P4 Package")))</f>
        <v/>
      </c>
      <c r="H46" s="9" t="n">
        <v>5</v>
      </c>
      <c r="I46" s="9" t="n">
        <v>7</v>
      </c>
      <c r="J46" s="6" t="inlineStr">
        <is>
          <t>D4, S3</t>
        </is>
      </c>
      <c r="K46" s="6" t="inlineStr">
        <is>
          <t>EE-1 (risk bands)</t>
        </is>
      </c>
      <c r="L46" s="6" t="inlineStr">
        <is>
          <t>S8</t>
        </is>
      </c>
      <c r="M46" s="13" t="inlineStr"/>
      <c r="N46" s="16" t="inlineStr">
        <is>
          <t>Not started</t>
        </is>
      </c>
      <c r="O46" s="13" t="inlineStr"/>
    </row>
    <row r="47">
      <c r="A47" s="14" t="inlineStr">
        <is>
          <t>S7</t>
        </is>
      </c>
      <c r="B47" s="21" t="inlineStr">
        <is>
          <t>EE-3 Evidence &amp; Pitch</t>
        </is>
      </c>
      <c r="C47" s="6" t="inlineStr">
        <is>
          <t>Business case</t>
        </is>
      </c>
      <c r="D47" s="6" t="inlineStr">
        <is>
          <t>Value to SDP, scale-up, cost-benefit with stated assumptions</t>
        </is>
      </c>
      <c r="E47" s="6" t="inlineStr">
        <is>
          <t>Business-case section</t>
        </is>
      </c>
      <c r="F47" s="9" t="inlineStr">
        <is>
          <t>Core</t>
        </is>
      </c>
      <c r="G47" s="9">
        <f>IF(H47&lt;=3,"P1 Set-up",IF(H47&lt;=7,"P2 Build",IF(H47&lt;=10,"P3 Integrate","P4 Package")))</f>
        <v/>
      </c>
      <c r="H47" s="9" t="n">
        <v>5</v>
      </c>
      <c r="I47" s="9" t="n">
        <v>9</v>
      </c>
      <c r="J47" s="6" t="inlineStr"/>
      <c r="K47" s="6" t="inlineStr"/>
      <c r="L47" s="6" t="inlineStr">
        <is>
          <t>S8</t>
        </is>
      </c>
      <c r="M47" s="13" t="inlineStr"/>
      <c r="N47" s="16" t="inlineStr">
        <is>
          <t>Not started</t>
        </is>
      </c>
      <c r="O47" s="13" t="inlineStr"/>
    </row>
    <row r="48">
      <c r="A48" s="14" t="inlineStr">
        <is>
          <t>S9</t>
        </is>
      </c>
      <c r="B48" s="21" t="inlineStr">
        <is>
          <t>EE-3 Evidence &amp; Pitch</t>
        </is>
      </c>
      <c r="C48" s="6" t="inlineStr">
        <is>
          <t>Hardware</t>
        </is>
      </c>
      <c r="D48" s="6" t="inlineStr">
        <is>
          <t>Optional: bench water-level sensor demo (labelled a demonstration)</t>
        </is>
      </c>
      <c r="E48" s="6" t="inlineStr">
        <is>
          <t>Bench demo</t>
        </is>
      </c>
      <c r="F48" s="9" t="inlineStr">
        <is>
          <t>Optional</t>
        </is>
      </c>
      <c r="G48" s="9">
        <f>IF(H48&lt;=3,"P1 Set-up",IF(H48&lt;=7,"P2 Build",IF(H48&lt;=10,"P3 Integrate","P4 Package")))</f>
        <v/>
      </c>
      <c r="H48" s="9" t="n">
        <v>7</v>
      </c>
      <c r="I48" s="9" t="n">
        <v>10</v>
      </c>
      <c r="J48" s="6" t="inlineStr"/>
      <c r="K48" s="6" t="inlineStr"/>
      <c r="L48" s="6" t="inlineStr">
        <is>
          <t>W8</t>
        </is>
      </c>
      <c r="M48" s="13" t="inlineStr"/>
      <c r="N48" s="16" t="inlineStr">
        <is>
          <t>Not started</t>
        </is>
      </c>
      <c r="O48" s="13" t="inlineStr"/>
    </row>
    <row r="49">
      <c r="A49" s="14" t="inlineStr">
        <is>
          <t>S2</t>
        </is>
      </c>
      <c r="B49" s="21" t="inlineStr">
        <is>
          <t>EE-3 Evidence &amp; Pitch</t>
        </is>
      </c>
      <c r="C49" s="6" t="inlineStr">
        <is>
          <t>Survey</t>
        </is>
      </c>
      <c r="D49" s="6" t="inlineStr">
        <is>
          <t>Analyse survey results (n, who responded, limits stated)</t>
        </is>
      </c>
      <c r="E49" s="6" t="inlineStr">
        <is>
          <t>Results summary</t>
        </is>
      </c>
      <c r="F49" s="9" t="inlineStr">
        <is>
          <t>Core</t>
        </is>
      </c>
      <c r="G49" s="9">
        <f>IF(H49&lt;=3,"P1 Set-up",IF(H49&lt;=7,"P2 Build",IF(H49&lt;=10,"P3 Integrate","P4 Package")))</f>
        <v/>
      </c>
      <c r="H49" s="9" t="n">
        <v>8</v>
      </c>
      <c r="I49" s="9" t="n">
        <v>9</v>
      </c>
      <c r="J49" s="6" t="inlineStr">
        <is>
          <t>S1</t>
        </is>
      </c>
      <c r="K49" s="6" t="inlineStr"/>
      <c r="L49" s="6" t="inlineStr">
        <is>
          <t>S8</t>
        </is>
      </c>
      <c r="M49" s="13" t="inlineStr"/>
      <c r="N49" s="16" t="inlineStr">
        <is>
          <t>Not started</t>
        </is>
      </c>
      <c r="O49" s="13" t="inlineStr"/>
    </row>
    <row r="50">
      <c r="A50" s="14" t="inlineStr">
        <is>
          <t>S8</t>
        </is>
      </c>
      <c r="B50" s="21" t="inlineStr">
        <is>
          <t>EE-3 Evidence &amp; Pitch</t>
        </is>
      </c>
      <c r="C50" s="6" t="inlineStr">
        <is>
          <t>Pitch</t>
        </is>
      </c>
      <c r="D50" s="6" t="inlineStr">
        <is>
          <t>Deck narrative and appendix text; combine visuals, numbers and validation</t>
        </is>
      </c>
      <c r="E50" s="6" t="inlineStr">
        <is>
          <t>Deck (max 10 main slides) and appendix</t>
        </is>
      </c>
      <c r="F50" s="9" t="inlineStr">
        <is>
          <t>Core</t>
        </is>
      </c>
      <c r="G50" s="9">
        <f>IF(H50&lt;=3,"P1 Set-up",IF(H50&lt;=7,"P2 Build",IF(H50&lt;=10,"P3 Integrate","P4 Package")))</f>
        <v/>
      </c>
      <c r="H50" s="9" t="n">
        <v>8</v>
      </c>
      <c r="I50" s="9" t="n">
        <v>12</v>
      </c>
      <c r="J50" s="6" t="inlineStr">
        <is>
          <t>M5, M6, S2, S4, S7, A4</t>
        </is>
      </c>
      <c r="K50" s="6" t="inlineStr">
        <is>
          <t>All</t>
        </is>
      </c>
      <c r="L50" s="6" t="inlineStr">
        <is>
          <t>G5</t>
        </is>
      </c>
      <c r="M50" s="13" t="inlineStr"/>
      <c r="N50" s="16" t="inlineStr">
        <is>
          <t>Not started</t>
        </is>
      </c>
      <c r="O50" s="13" t="inlineStr"/>
    </row>
  </sheetData>
  <autoFilter ref="A4:O50"/>
  <conditionalFormatting sqref="N5:N1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F5:F100">
    <cfRule type="cellIs" priority="4" operator="equal" dxfId="3">
      <formula>"Stretch"</formula>
    </cfRule>
    <cfRule type="cellIs" priority="5" operator="equal" dxfId="4">
      <formula>"Optional"</formula>
    </cfRule>
  </conditionalFormatting>
  <dataValidations count="2">
    <dataValidation sqref="N5:N100" showDropDown="0" showInputMessage="0" showErrorMessage="0" allowBlank="0" type="list">
      <formula1>"Not started,In progress,Blocked,Done"</formula1>
    </dataValidation>
    <dataValidation sqref="F5:F100" showDropDown="0" showInputMessage="0" showErrorMessage="0" allowBlank="0" type="list">
      <formula1>"Core,Stretch,Optional"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9A825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Progress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All figures are formulas driven by the Status column on 'Task List'.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11" t="inlineStr">
        <is>
          <t>Role</t>
        </is>
      </c>
      <c r="B4" s="11" t="inlineStr">
        <is>
          <t>Lead</t>
        </is>
      </c>
      <c r="C4" s="11" t="inlineStr">
        <is>
          <t>Not started</t>
        </is>
      </c>
      <c r="D4" s="11" t="inlineStr">
        <is>
          <t>In progress</t>
        </is>
      </c>
      <c r="E4" s="11" t="inlineStr">
        <is>
          <t>Blocked</t>
        </is>
      </c>
      <c r="F4" s="11" t="inlineStr">
        <is>
          <t>Done</t>
        </is>
      </c>
      <c r="G4" s="11" t="inlineStr">
        <is>
          <t>Total</t>
        </is>
      </c>
      <c r="H4" s="11" t="inlineStr">
        <is>
          <t>% Done</t>
        </is>
      </c>
    </row>
    <row r="5">
      <c r="A5" s="22" t="inlineStr">
        <is>
          <t>Architecture</t>
        </is>
      </c>
      <c r="B5" s="6">
        <f>IFERROR(INDEX(README!$C$15:$C$20,MATCH($A5,README!$B$15:$B$20,0))&amp;"","")</f>
        <v/>
      </c>
      <c r="C5" s="9">
        <f>COUNTIFS('Task List'!$B$5:$B$100,$A5,'Task List'!$N$5:$N$100,"Not started")</f>
        <v/>
      </c>
      <c r="D5" s="9">
        <f>COUNTIFS('Task List'!$B$5:$B$100,$A5,'Task List'!$N$5:$N$100,"In progress")</f>
        <v/>
      </c>
      <c r="E5" s="9">
        <f>COUNTIFS('Task List'!$B$5:$B$100,$A5,'Task List'!$N$5:$N$100,"Blocked")</f>
        <v/>
      </c>
      <c r="F5" s="9">
        <f>COUNTIFS('Task List'!$B$5:$B$100,$A5,'Task List'!$N$5:$N$100,"Done")</f>
        <v/>
      </c>
      <c r="G5" s="9">
        <f>SUM(C5:F5)</f>
        <v/>
      </c>
      <c r="H5" s="23">
        <f>IF(G5=0,0,F5/G5)</f>
        <v/>
      </c>
    </row>
    <row r="6">
      <c r="A6" s="24" t="inlineStr">
        <is>
          <t>Mechanical</t>
        </is>
      </c>
      <c r="B6" s="6">
        <f>IFERROR(INDEX(README!$C$15:$C$20,MATCH($A6,README!$B$15:$B$20,0))&amp;"","")</f>
        <v/>
      </c>
      <c r="C6" s="9">
        <f>COUNTIFS('Task List'!$B$5:$B$100,$A6,'Task List'!$N$5:$N$100,"Not started")</f>
        <v/>
      </c>
      <c r="D6" s="9">
        <f>COUNTIFS('Task List'!$B$5:$B$100,$A6,'Task List'!$N$5:$N$100,"In progress")</f>
        <v/>
      </c>
      <c r="E6" s="9">
        <f>COUNTIFS('Task List'!$B$5:$B$100,$A6,'Task List'!$N$5:$N$100,"Blocked")</f>
        <v/>
      </c>
      <c r="F6" s="9">
        <f>COUNTIFS('Task List'!$B$5:$B$100,$A6,'Task List'!$N$5:$N$100,"Done")</f>
        <v/>
      </c>
      <c r="G6" s="9">
        <f>SUM(C6:F6)</f>
        <v/>
      </c>
      <c r="H6" s="23">
        <f>IF(G6=0,0,F6/G6)</f>
        <v/>
      </c>
    </row>
    <row r="7">
      <c r="A7" s="25" t="inlineStr">
        <is>
          <t>EE-1 Data/GIS</t>
        </is>
      </c>
      <c r="B7" s="6">
        <f>IFERROR(INDEX(README!$C$15:$C$20,MATCH($A7,README!$B$15:$B$20,0))&amp;"","")</f>
        <v/>
      </c>
      <c r="C7" s="9">
        <f>COUNTIFS('Task List'!$B$5:$B$100,$A7,'Task List'!$N$5:$N$100,"Not started")</f>
        <v/>
      </c>
      <c r="D7" s="9">
        <f>COUNTIFS('Task List'!$B$5:$B$100,$A7,'Task List'!$N$5:$N$100,"In progress")</f>
        <v/>
      </c>
      <c r="E7" s="9">
        <f>COUNTIFS('Task List'!$B$5:$B$100,$A7,'Task List'!$N$5:$N$100,"Blocked")</f>
        <v/>
      </c>
      <c r="F7" s="9">
        <f>COUNTIFS('Task List'!$B$5:$B$100,$A7,'Task List'!$N$5:$N$100,"Done")</f>
        <v/>
      </c>
      <c r="G7" s="9">
        <f>SUM(C7:F7)</f>
        <v/>
      </c>
      <c r="H7" s="23">
        <f>IF(G7=0,0,F7/G7)</f>
        <v/>
      </c>
    </row>
    <row r="8">
      <c r="A8" s="26" t="inlineStr">
        <is>
          <t>EE-2 Dashboard</t>
        </is>
      </c>
      <c r="B8" s="6">
        <f>IFERROR(INDEX(README!$C$15:$C$20,MATCH($A8,README!$B$15:$B$20,0))&amp;"","")</f>
        <v/>
      </c>
      <c r="C8" s="9">
        <f>COUNTIFS('Task List'!$B$5:$B$100,$A8,'Task List'!$N$5:$N$100,"Not started")</f>
        <v/>
      </c>
      <c r="D8" s="9">
        <f>COUNTIFS('Task List'!$B$5:$B$100,$A8,'Task List'!$N$5:$N$100,"In progress")</f>
        <v/>
      </c>
      <c r="E8" s="9">
        <f>COUNTIFS('Task List'!$B$5:$B$100,$A8,'Task List'!$N$5:$N$100,"Blocked")</f>
        <v/>
      </c>
      <c r="F8" s="9">
        <f>COUNTIFS('Task List'!$B$5:$B$100,$A8,'Task List'!$N$5:$N$100,"Done")</f>
        <v/>
      </c>
      <c r="G8" s="9">
        <f>SUM(C8:F8)</f>
        <v/>
      </c>
      <c r="H8" s="23">
        <f>IF(G8=0,0,F8/G8)</f>
        <v/>
      </c>
    </row>
    <row r="9">
      <c r="A9" s="27" t="inlineStr">
        <is>
          <t>EE-3 Evidence &amp; Pitch</t>
        </is>
      </c>
      <c r="B9" s="6">
        <f>IFERROR(INDEX(README!$C$15:$C$20,MATCH($A9,README!$B$15:$B$20,0))&amp;"","")</f>
        <v/>
      </c>
      <c r="C9" s="9">
        <f>COUNTIFS('Task List'!$B$5:$B$100,$A9,'Task List'!$N$5:$N$100,"Not started")</f>
        <v/>
      </c>
      <c r="D9" s="9">
        <f>COUNTIFS('Task List'!$B$5:$B$100,$A9,'Task List'!$N$5:$N$100,"In progress")</f>
        <v/>
      </c>
      <c r="E9" s="9">
        <f>COUNTIFS('Task List'!$B$5:$B$100,$A9,'Task List'!$N$5:$N$100,"Blocked")</f>
        <v/>
      </c>
      <c r="F9" s="9">
        <f>COUNTIFS('Task List'!$B$5:$B$100,$A9,'Task List'!$N$5:$N$100,"Done")</f>
        <v/>
      </c>
      <c r="G9" s="9">
        <f>SUM(C9:F9)</f>
        <v/>
      </c>
      <c r="H9" s="23">
        <f>IF(G9=0,0,F9/G9)</f>
        <v/>
      </c>
    </row>
    <row r="10">
      <c r="A10" s="28" t="inlineStr">
        <is>
          <t>Whole team</t>
        </is>
      </c>
      <c r="B10" s="6">
        <f>IFERROR(INDEX(README!$C$15:$C$20,MATCH($A10,README!$B$15:$B$20,0))&amp;"","")</f>
        <v/>
      </c>
      <c r="C10" s="9">
        <f>COUNTIFS('Task List'!$B$5:$B$100,$A10,'Task List'!$N$5:$N$100,"Not started")</f>
        <v/>
      </c>
      <c r="D10" s="9">
        <f>COUNTIFS('Task List'!$B$5:$B$100,$A10,'Task List'!$N$5:$N$100,"In progress")</f>
        <v/>
      </c>
      <c r="E10" s="9">
        <f>COUNTIFS('Task List'!$B$5:$B$100,$A10,'Task List'!$N$5:$N$100,"Blocked")</f>
        <v/>
      </c>
      <c r="F10" s="9">
        <f>COUNTIFS('Task List'!$B$5:$B$100,$A10,'Task List'!$N$5:$N$100,"Done")</f>
        <v/>
      </c>
      <c r="G10" s="9">
        <f>SUM(C10:F10)</f>
        <v/>
      </c>
      <c r="H10" s="23">
        <f>IF(G10=0,0,F10/G10)</f>
        <v/>
      </c>
    </row>
    <row r="11">
      <c r="A11" s="29" t="inlineStr">
        <is>
          <t>Total</t>
        </is>
      </c>
      <c r="B11" s="29" t="inlineStr"/>
      <c r="C11" s="30">
        <f>SUM(C5:C10)</f>
        <v/>
      </c>
      <c r="D11" s="30">
        <f>SUM(D5:D10)</f>
        <v/>
      </c>
      <c r="E11" s="30">
        <f>SUM(E5:E10)</f>
        <v/>
      </c>
      <c r="F11" s="30">
        <f>SUM(F5:F10)</f>
        <v/>
      </c>
      <c r="G11" s="30">
        <f>SUM(G5:G10)</f>
        <v/>
      </c>
      <c r="H11" s="31">
        <f>IF(G11=0,0,F11/G11)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By priority</t>
        </is>
      </c>
      <c r="B14" s="2" t="n"/>
      <c r="C14" s="2" t="n"/>
      <c r="D14" s="2" t="n"/>
      <c r="E14" s="2" t="n"/>
      <c r="F14" s="2" t="n"/>
      <c r="G14" s="2" t="n"/>
      <c r="H14" s="2" t="n"/>
    </row>
    <row r="15" ht="30" customHeight="1">
      <c r="A15" s="11" t="inlineStr">
        <is>
          <t>Priority</t>
        </is>
      </c>
      <c r="B15" s="11" t="inlineStr"/>
      <c r="C15" s="11" t="inlineStr">
        <is>
          <t>Not started</t>
        </is>
      </c>
      <c r="D15" s="11" t="inlineStr">
        <is>
          <t>In progress</t>
        </is>
      </c>
      <c r="E15" s="11" t="inlineStr">
        <is>
          <t>Blocked</t>
        </is>
      </c>
      <c r="F15" s="11" t="inlineStr">
        <is>
          <t>Done</t>
        </is>
      </c>
      <c r="G15" s="11" t="inlineStr">
        <is>
          <t>Total</t>
        </is>
      </c>
      <c r="H15" s="11" t="inlineStr">
        <is>
          <t>% Done</t>
        </is>
      </c>
    </row>
    <row r="16">
      <c r="A16" s="12" t="inlineStr">
        <is>
          <t>Core</t>
        </is>
      </c>
      <c r="B16" s="6" t="n"/>
      <c r="C16" s="9">
        <f>COUNTIFS('Task List'!$F$5:$F$100,$A16,'Task List'!$N$5:$N$100,"Not started")</f>
        <v/>
      </c>
      <c r="D16" s="9">
        <f>COUNTIFS('Task List'!$F$5:$F$100,$A16,'Task List'!$N$5:$N$100,"In progress")</f>
        <v/>
      </c>
      <c r="E16" s="9">
        <f>COUNTIFS('Task List'!$F$5:$F$100,$A16,'Task List'!$N$5:$N$100,"Blocked")</f>
        <v/>
      </c>
      <c r="F16" s="9">
        <f>COUNTIFS('Task List'!$F$5:$F$100,$A16,'Task List'!$N$5:$N$100,"Done")</f>
        <v/>
      </c>
      <c r="G16" s="9">
        <f>SUM(C16:F16)</f>
        <v/>
      </c>
      <c r="H16" s="23">
        <f>IF(G16=0,0,F16/G16)</f>
        <v/>
      </c>
    </row>
    <row r="17">
      <c r="A17" s="12" t="inlineStr">
        <is>
          <t>Stretch</t>
        </is>
      </c>
      <c r="B17" s="6" t="n"/>
      <c r="C17" s="9">
        <f>COUNTIFS('Task List'!$F$5:$F$100,$A17,'Task List'!$N$5:$N$100,"Not started")</f>
        <v/>
      </c>
      <c r="D17" s="9">
        <f>COUNTIFS('Task List'!$F$5:$F$100,$A17,'Task List'!$N$5:$N$100,"In progress")</f>
        <v/>
      </c>
      <c r="E17" s="9">
        <f>COUNTIFS('Task List'!$F$5:$F$100,$A17,'Task List'!$N$5:$N$100,"Blocked")</f>
        <v/>
      </c>
      <c r="F17" s="9">
        <f>COUNTIFS('Task List'!$F$5:$F$100,$A17,'Task List'!$N$5:$N$100,"Done")</f>
        <v/>
      </c>
      <c r="G17" s="9">
        <f>SUM(C17:F17)</f>
        <v/>
      </c>
      <c r="H17" s="23">
        <f>IF(G17=0,0,F17/G17)</f>
        <v/>
      </c>
    </row>
    <row r="18">
      <c r="A18" s="12" t="inlineStr">
        <is>
          <t>Optional</t>
        </is>
      </c>
      <c r="B18" s="6" t="n"/>
      <c r="C18" s="9">
        <f>COUNTIFS('Task List'!$F$5:$F$100,$A18,'Task List'!$N$5:$N$100,"Not started")</f>
        <v/>
      </c>
      <c r="D18" s="9">
        <f>COUNTIFS('Task List'!$F$5:$F$100,$A18,'Task List'!$N$5:$N$100,"In progress")</f>
        <v/>
      </c>
      <c r="E18" s="9">
        <f>COUNTIFS('Task List'!$F$5:$F$100,$A18,'Task List'!$N$5:$N$100,"Blocked")</f>
        <v/>
      </c>
      <c r="F18" s="9">
        <f>COUNTIFS('Task List'!$F$5:$F$100,$A18,'Task List'!$N$5:$N$100,"Done")</f>
        <v/>
      </c>
      <c r="G18" s="9">
        <f>SUM(C18:F18)</f>
        <v/>
      </c>
      <c r="H18" s="23">
        <f>IF(G18=0,0,F18/G18)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4" t="inlineStr">
        <is>
          <t>Schedule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6" t="inlineStr">
        <is>
          <t>Days remaining to deadline</t>
        </is>
      </c>
      <c r="B22" s="32" t="n"/>
      <c r="C22" s="9">
        <f>README!C10</f>
        <v/>
      </c>
      <c r="D22" s="2" t="n"/>
      <c r="E22" s="2" t="n"/>
      <c r="F22" s="2" t="n"/>
      <c r="G22" s="2" t="n"/>
      <c r="H22" s="2" t="n"/>
    </row>
    <row r="23">
      <c r="A23" s="6" t="inlineStr">
        <is>
          <t>Project day today</t>
        </is>
      </c>
      <c r="B23" s="32" t="n"/>
      <c r="C23" s="9">
        <f>README!C11</f>
        <v/>
      </c>
      <c r="D23" s="2" t="n"/>
      <c r="E23" s="2" t="n"/>
      <c r="F23" s="2" t="n"/>
      <c r="G23" s="2" t="n"/>
      <c r="H23" s="2" t="n"/>
    </row>
    <row r="24">
      <c r="A24" s="6" t="inlineStr">
        <is>
          <t>Core tasks due by today and not done</t>
        </is>
      </c>
      <c r="B24" s="32" t="n"/>
      <c r="C24" s="9">
        <f>COUNTIFS('Task List'!$F$5:$F$100,"Core",'Task List'!$I$5:$I$100,"&lt;="&amp;README!C11,'Task List'!$N$5:$N$100,"&lt;&gt;Done")</f>
        <v/>
      </c>
      <c r="D24" s="2" t="n"/>
      <c r="E24" s="2" t="n"/>
      <c r="F24" s="2" t="n"/>
      <c r="G24" s="2" t="n"/>
      <c r="H24" s="2" t="n"/>
    </row>
  </sheetData>
  <mergeCells count="3">
    <mergeCell ref="A24:B24"/>
    <mergeCell ref="A22:B22"/>
    <mergeCell ref="A23:B23"/>
  </mergeCells>
  <conditionalFormatting sqref="H5:H10">
    <cfRule type="dataBar" priority="1">
      <dataBar>
        <cfvo type="num" val="0"/>
        <cfvo type="num" val="1"/>
        <color rgb="0066BB6A"/>
      </dataBar>
    </cfRule>
  </conditionalFormatting>
  <conditionalFormatting sqref="C24"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S51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54" customWidth="1" min="3" max="3"/>
    <col width="10" customWidth="1" min="4" max="4"/>
    <col width="7" customWidth="1" min="5" max="5"/>
    <col width="7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</cols>
  <sheetData>
    <row r="1">
      <c r="A1" s="1" t="inlineStr">
        <is>
          <t>Timeline (Gantt)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Bars follow Start and End day on 'Task List'. Teal = Core, amber = Stretch/Optional. The current project day is outlined.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33" t="inlineStr">
        <is>
          <t>Day</t>
        </is>
      </c>
      <c r="G4" s="34" t="n">
        <v>1</v>
      </c>
      <c r="H4" s="34" t="n">
        <v>2</v>
      </c>
      <c r="I4" s="34" t="n">
        <v>3</v>
      </c>
      <c r="J4" s="34" t="n">
        <v>4</v>
      </c>
      <c r="K4" s="34" t="n">
        <v>5</v>
      </c>
      <c r="L4" s="34" t="n">
        <v>6</v>
      </c>
      <c r="M4" s="34" t="n">
        <v>7</v>
      </c>
      <c r="N4" s="34" t="n">
        <v>8</v>
      </c>
      <c r="O4" s="34" t="n">
        <v>9</v>
      </c>
      <c r="P4" s="34" t="n">
        <v>10</v>
      </c>
      <c r="Q4" s="34" t="n">
        <v>11</v>
      </c>
      <c r="R4" s="34" t="n">
        <v>12</v>
      </c>
      <c r="S4" s="34" t="n">
        <v>13</v>
      </c>
    </row>
    <row r="5" ht="42" customHeight="1">
      <c r="A5" s="11" t="inlineStr">
        <is>
          <t>ID</t>
        </is>
      </c>
      <c r="B5" s="11" t="inlineStr">
        <is>
          <t>Role</t>
        </is>
      </c>
      <c r="C5" s="11" t="inlineStr">
        <is>
          <t>Task</t>
        </is>
      </c>
      <c r="D5" s="11" t="inlineStr">
        <is>
          <t>Priority</t>
        </is>
      </c>
      <c r="E5" s="11" t="inlineStr">
        <is>
          <t>Start</t>
        </is>
      </c>
      <c r="F5" s="11" t="inlineStr">
        <is>
          <t>End</t>
        </is>
      </c>
      <c r="G5" s="35">
        <f>README!$C$8+1-1</f>
        <v/>
      </c>
      <c r="H5" s="35">
        <f>README!$C$8+2-1</f>
        <v/>
      </c>
      <c r="I5" s="35">
        <f>README!$C$8+3-1</f>
        <v/>
      </c>
      <c r="J5" s="35">
        <f>README!$C$8+4-1</f>
        <v/>
      </c>
      <c r="K5" s="35">
        <f>README!$C$8+5-1</f>
        <v/>
      </c>
      <c r="L5" s="35">
        <f>README!$C$8+6-1</f>
        <v/>
      </c>
      <c r="M5" s="35">
        <f>README!$C$8+7-1</f>
        <v/>
      </c>
      <c r="N5" s="35">
        <f>README!$C$8+8-1</f>
        <v/>
      </c>
      <c r="O5" s="35">
        <f>README!$C$8+9-1</f>
        <v/>
      </c>
      <c r="P5" s="35">
        <f>README!$C$8+10-1</f>
        <v/>
      </c>
      <c r="Q5" s="35">
        <f>README!$C$8+11-1</f>
        <v/>
      </c>
      <c r="R5" s="35">
        <f>README!$C$8+12-1</f>
        <v/>
      </c>
      <c r="S5" s="35">
        <f>README!$C$8+13-1</f>
        <v/>
      </c>
    </row>
    <row r="6">
      <c r="A6" s="36">
        <f>'Task List'!A5</f>
        <v/>
      </c>
      <c r="B6" s="37">
        <f>'Task List'!B5</f>
        <v/>
      </c>
      <c r="C6" s="6">
        <f>'Task List'!D5</f>
        <v/>
      </c>
      <c r="D6" s="36">
        <f>'Task List'!F5</f>
        <v/>
      </c>
      <c r="E6" s="36">
        <f>'Task List'!H5</f>
        <v/>
      </c>
      <c r="F6" s="36">
        <f>'Task List'!I5</f>
        <v/>
      </c>
      <c r="G6" s="38">
        <f>IF(AND(G$4&gt;=$E6,G$4&lt;=$F6),1,0)</f>
        <v/>
      </c>
      <c r="H6" s="38">
        <f>IF(AND(H$4&gt;=$E6,H$4&lt;=$F6),1,0)</f>
        <v/>
      </c>
      <c r="I6" s="38">
        <f>IF(AND(I$4&gt;=$E6,I$4&lt;=$F6),1,0)</f>
        <v/>
      </c>
      <c r="J6" s="38">
        <f>IF(AND(J$4&gt;=$E6,J$4&lt;=$F6),1,0)</f>
        <v/>
      </c>
      <c r="K6" s="38">
        <f>IF(AND(K$4&gt;=$E6,K$4&lt;=$F6),1,0)</f>
        <v/>
      </c>
      <c r="L6" s="38">
        <f>IF(AND(L$4&gt;=$E6,L$4&lt;=$F6),1,0)</f>
        <v/>
      </c>
      <c r="M6" s="38">
        <f>IF(AND(M$4&gt;=$E6,M$4&lt;=$F6),1,0)</f>
        <v/>
      </c>
      <c r="N6" s="38">
        <f>IF(AND(N$4&gt;=$E6,N$4&lt;=$F6),1,0)</f>
        <v/>
      </c>
      <c r="O6" s="38">
        <f>IF(AND(O$4&gt;=$E6,O$4&lt;=$F6),1,0)</f>
        <v/>
      </c>
      <c r="P6" s="38">
        <f>IF(AND(P$4&gt;=$E6,P$4&lt;=$F6),1,0)</f>
        <v/>
      </c>
      <c r="Q6" s="38">
        <f>IF(AND(Q$4&gt;=$E6,Q$4&lt;=$F6),1,0)</f>
        <v/>
      </c>
      <c r="R6" s="38">
        <f>IF(AND(R$4&gt;=$E6,R$4&lt;=$F6),1,0)</f>
        <v/>
      </c>
      <c r="S6" s="38">
        <f>IF(AND(S$4&gt;=$E6,S$4&lt;=$F6),1,0)</f>
        <v/>
      </c>
    </row>
    <row r="7">
      <c r="A7" s="36">
        <f>'Task List'!A6</f>
        <v/>
      </c>
      <c r="B7" s="37">
        <f>'Task List'!B6</f>
        <v/>
      </c>
      <c r="C7" s="6">
        <f>'Task List'!D6</f>
        <v/>
      </c>
      <c r="D7" s="36">
        <f>'Task List'!F6</f>
        <v/>
      </c>
      <c r="E7" s="36">
        <f>'Task List'!H6</f>
        <v/>
      </c>
      <c r="F7" s="36">
        <f>'Task List'!I6</f>
        <v/>
      </c>
      <c r="G7" s="38">
        <f>IF(AND(G$4&gt;=$E7,G$4&lt;=$F7),1,0)</f>
        <v/>
      </c>
      <c r="H7" s="38">
        <f>IF(AND(H$4&gt;=$E7,H$4&lt;=$F7),1,0)</f>
        <v/>
      </c>
      <c r="I7" s="38">
        <f>IF(AND(I$4&gt;=$E7,I$4&lt;=$F7),1,0)</f>
        <v/>
      </c>
      <c r="J7" s="38">
        <f>IF(AND(J$4&gt;=$E7,J$4&lt;=$F7),1,0)</f>
        <v/>
      </c>
      <c r="K7" s="38">
        <f>IF(AND(K$4&gt;=$E7,K$4&lt;=$F7),1,0)</f>
        <v/>
      </c>
      <c r="L7" s="38">
        <f>IF(AND(L$4&gt;=$E7,L$4&lt;=$F7),1,0)</f>
        <v/>
      </c>
      <c r="M7" s="38">
        <f>IF(AND(M$4&gt;=$E7,M$4&lt;=$F7),1,0)</f>
        <v/>
      </c>
      <c r="N7" s="38">
        <f>IF(AND(N$4&gt;=$E7,N$4&lt;=$F7),1,0)</f>
        <v/>
      </c>
      <c r="O7" s="38">
        <f>IF(AND(O$4&gt;=$E7,O$4&lt;=$F7),1,0)</f>
        <v/>
      </c>
      <c r="P7" s="38">
        <f>IF(AND(P$4&gt;=$E7,P$4&lt;=$F7),1,0)</f>
        <v/>
      </c>
      <c r="Q7" s="38">
        <f>IF(AND(Q$4&gt;=$E7,Q$4&lt;=$F7),1,0)</f>
        <v/>
      </c>
      <c r="R7" s="38">
        <f>IF(AND(R$4&gt;=$E7,R$4&lt;=$F7),1,0)</f>
        <v/>
      </c>
      <c r="S7" s="38">
        <f>IF(AND(S$4&gt;=$E7,S$4&lt;=$F7),1,0)</f>
        <v/>
      </c>
    </row>
    <row r="8">
      <c r="A8" s="36">
        <f>'Task List'!A7</f>
        <v/>
      </c>
      <c r="B8" s="37">
        <f>'Task List'!B7</f>
        <v/>
      </c>
      <c r="C8" s="6">
        <f>'Task List'!D7</f>
        <v/>
      </c>
      <c r="D8" s="36">
        <f>'Task List'!F7</f>
        <v/>
      </c>
      <c r="E8" s="36">
        <f>'Task List'!H7</f>
        <v/>
      </c>
      <c r="F8" s="36">
        <f>'Task List'!I7</f>
        <v/>
      </c>
      <c r="G8" s="38">
        <f>IF(AND(G$4&gt;=$E8,G$4&lt;=$F8),1,0)</f>
        <v/>
      </c>
      <c r="H8" s="38">
        <f>IF(AND(H$4&gt;=$E8,H$4&lt;=$F8),1,0)</f>
        <v/>
      </c>
      <c r="I8" s="38">
        <f>IF(AND(I$4&gt;=$E8,I$4&lt;=$F8),1,0)</f>
        <v/>
      </c>
      <c r="J8" s="38">
        <f>IF(AND(J$4&gt;=$E8,J$4&lt;=$F8),1,0)</f>
        <v/>
      </c>
      <c r="K8" s="38">
        <f>IF(AND(K$4&gt;=$E8,K$4&lt;=$F8),1,0)</f>
        <v/>
      </c>
      <c r="L8" s="38">
        <f>IF(AND(L$4&gt;=$E8,L$4&lt;=$F8),1,0)</f>
        <v/>
      </c>
      <c r="M8" s="38">
        <f>IF(AND(M$4&gt;=$E8,M$4&lt;=$F8),1,0)</f>
        <v/>
      </c>
      <c r="N8" s="38">
        <f>IF(AND(N$4&gt;=$E8,N$4&lt;=$F8),1,0)</f>
        <v/>
      </c>
      <c r="O8" s="38">
        <f>IF(AND(O$4&gt;=$E8,O$4&lt;=$F8),1,0)</f>
        <v/>
      </c>
      <c r="P8" s="38">
        <f>IF(AND(P$4&gt;=$E8,P$4&lt;=$F8),1,0)</f>
        <v/>
      </c>
      <c r="Q8" s="38">
        <f>IF(AND(Q$4&gt;=$E8,Q$4&lt;=$F8),1,0)</f>
        <v/>
      </c>
      <c r="R8" s="38">
        <f>IF(AND(R$4&gt;=$E8,R$4&lt;=$F8),1,0)</f>
        <v/>
      </c>
      <c r="S8" s="38">
        <f>IF(AND(S$4&gt;=$E8,S$4&lt;=$F8),1,0)</f>
        <v/>
      </c>
    </row>
    <row r="9">
      <c r="A9" s="36">
        <f>'Task List'!A8</f>
        <v/>
      </c>
      <c r="B9" s="37">
        <f>'Task List'!B8</f>
        <v/>
      </c>
      <c r="C9" s="6">
        <f>'Task List'!D8</f>
        <v/>
      </c>
      <c r="D9" s="36">
        <f>'Task List'!F8</f>
        <v/>
      </c>
      <c r="E9" s="36">
        <f>'Task List'!H8</f>
        <v/>
      </c>
      <c r="F9" s="36">
        <f>'Task List'!I8</f>
        <v/>
      </c>
      <c r="G9" s="38">
        <f>IF(AND(G$4&gt;=$E9,G$4&lt;=$F9),1,0)</f>
        <v/>
      </c>
      <c r="H9" s="38">
        <f>IF(AND(H$4&gt;=$E9,H$4&lt;=$F9),1,0)</f>
        <v/>
      </c>
      <c r="I9" s="38">
        <f>IF(AND(I$4&gt;=$E9,I$4&lt;=$F9),1,0)</f>
        <v/>
      </c>
      <c r="J9" s="38">
        <f>IF(AND(J$4&gt;=$E9,J$4&lt;=$F9),1,0)</f>
        <v/>
      </c>
      <c r="K9" s="38">
        <f>IF(AND(K$4&gt;=$E9,K$4&lt;=$F9),1,0)</f>
        <v/>
      </c>
      <c r="L9" s="38">
        <f>IF(AND(L$4&gt;=$E9,L$4&lt;=$F9),1,0)</f>
        <v/>
      </c>
      <c r="M9" s="38">
        <f>IF(AND(M$4&gt;=$E9,M$4&lt;=$F9),1,0)</f>
        <v/>
      </c>
      <c r="N9" s="38">
        <f>IF(AND(N$4&gt;=$E9,N$4&lt;=$F9),1,0)</f>
        <v/>
      </c>
      <c r="O9" s="38">
        <f>IF(AND(O$4&gt;=$E9,O$4&lt;=$F9),1,0)</f>
        <v/>
      </c>
      <c r="P9" s="38">
        <f>IF(AND(P$4&gt;=$E9,P$4&lt;=$F9),1,0)</f>
        <v/>
      </c>
      <c r="Q9" s="38">
        <f>IF(AND(Q$4&gt;=$E9,Q$4&lt;=$F9),1,0)</f>
        <v/>
      </c>
      <c r="R9" s="38">
        <f>IF(AND(R$4&gt;=$E9,R$4&lt;=$F9),1,0)</f>
        <v/>
      </c>
      <c r="S9" s="38">
        <f>IF(AND(S$4&gt;=$E9,S$4&lt;=$F9),1,0)</f>
        <v/>
      </c>
    </row>
    <row r="10">
      <c r="A10" s="36">
        <f>'Task List'!A9</f>
        <v/>
      </c>
      <c r="B10" s="37">
        <f>'Task List'!B9</f>
        <v/>
      </c>
      <c r="C10" s="6">
        <f>'Task List'!D9</f>
        <v/>
      </c>
      <c r="D10" s="36">
        <f>'Task List'!F9</f>
        <v/>
      </c>
      <c r="E10" s="36">
        <f>'Task List'!H9</f>
        <v/>
      </c>
      <c r="F10" s="36">
        <f>'Task List'!I9</f>
        <v/>
      </c>
      <c r="G10" s="38">
        <f>IF(AND(G$4&gt;=$E10,G$4&lt;=$F10),1,0)</f>
        <v/>
      </c>
      <c r="H10" s="38">
        <f>IF(AND(H$4&gt;=$E10,H$4&lt;=$F10),1,0)</f>
        <v/>
      </c>
      <c r="I10" s="38">
        <f>IF(AND(I$4&gt;=$E10,I$4&lt;=$F10),1,0)</f>
        <v/>
      </c>
      <c r="J10" s="38">
        <f>IF(AND(J$4&gt;=$E10,J$4&lt;=$F10),1,0)</f>
        <v/>
      </c>
      <c r="K10" s="38">
        <f>IF(AND(K$4&gt;=$E10,K$4&lt;=$F10),1,0)</f>
        <v/>
      </c>
      <c r="L10" s="38">
        <f>IF(AND(L$4&gt;=$E10,L$4&lt;=$F10),1,0)</f>
        <v/>
      </c>
      <c r="M10" s="38">
        <f>IF(AND(M$4&gt;=$E10,M$4&lt;=$F10),1,0)</f>
        <v/>
      </c>
      <c r="N10" s="38">
        <f>IF(AND(N$4&gt;=$E10,N$4&lt;=$F10),1,0)</f>
        <v/>
      </c>
      <c r="O10" s="38">
        <f>IF(AND(O$4&gt;=$E10,O$4&lt;=$F10),1,0)</f>
        <v/>
      </c>
      <c r="P10" s="38">
        <f>IF(AND(P$4&gt;=$E10,P$4&lt;=$F10),1,0)</f>
        <v/>
      </c>
      <c r="Q10" s="38">
        <f>IF(AND(Q$4&gt;=$E10,Q$4&lt;=$F10),1,0)</f>
        <v/>
      </c>
      <c r="R10" s="38">
        <f>IF(AND(R$4&gt;=$E10,R$4&lt;=$F10),1,0)</f>
        <v/>
      </c>
      <c r="S10" s="38">
        <f>IF(AND(S$4&gt;=$E10,S$4&lt;=$F10),1,0)</f>
        <v/>
      </c>
    </row>
    <row r="11">
      <c r="A11" s="36">
        <f>'Task List'!A10</f>
        <v/>
      </c>
      <c r="B11" s="37">
        <f>'Task List'!B10</f>
        <v/>
      </c>
      <c r="C11" s="6">
        <f>'Task List'!D10</f>
        <v/>
      </c>
      <c r="D11" s="36">
        <f>'Task List'!F10</f>
        <v/>
      </c>
      <c r="E11" s="36">
        <f>'Task List'!H10</f>
        <v/>
      </c>
      <c r="F11" s="36">
        <f>'Task List'!I10</f>
        <v/>
      </c>
      <c r="G11" s="38">
        <f>IF(AND(G$4&gt;=$E11,G$4&lt;=$F11),1,0)</f>
        <v/>
      </c>
      <c r="H11" s="38">
        <f>IF(AND(H$4&gt;=$E11,H$4&lt;=$F11),1,0)</f>
        <v/>
      </c>
      <c r="I11" s="38">
        <f>IF(AND(I$4&gt;=$E11,I$4&lt;=$F11),1,0)</f>
        <v/>
      </c>
      <c r="J11" s="38">
        <f>IF(AND(J$4&gt;=$E11,J$4&lt;=$F11),1,0)</f>
        <v/>
      </c>
      <c r="K11" s="38">
        <f>IF(AND(K$4&gt;=$E11,K$4&lt;=$F11),1,0)</f>
        <v/>
      </c>
      <c r="L11" s="38">
        <f>IF(AND(L$4&gt;=$E11,L$4&lt;=$F11),1,0)</f>
        <v/>
      </c>
      <c r="M11" s="38">
        <f>IF(AND(M$4&gt;=$E11,M$4&lt;=$F11),1,0)</f>
        <v/>
      </c>
      <c r="N11" s="38">
        <f>IF(AND(N$4&gt;=$E11,N$4&lt;=$F11),1,0)</f>
        <v/>
      </c>
      <c r="O11" s="38">
        <f>IF(AND(O$4&gt;=$E11,O$4&lt;=$F11),1,0)</f>
        <v/>
      </c>
      <c r="P11" s="38">
        <f>IF(AND(P$4&gt;=$E11,P$4&lt;=$F11),1,0)</f>
        <v/>
      </c>
      <c r="Q11" s="38">
        <f>IF(AND(Q$4&gt;=$E11,Q$4&lt;=$F11),1,0)</f>
        <v/>
      </c>
      <c r="R11" s="38">
        <f>IF(AND(R$4&gt;=$E11,R$4&lt;=$F11),1,0)</f>
        <v/>
      </c>
      <c r="S11" s="38">
        <f>IF(AND(S$4&gt;=$E11,S$4&lt;=$F11),1,0)</f>
        <v/>
      </c>
    </row>
    <row r="12">
      <c r="A12" s="36">
        <f>'Task List'!A11</f>
        <v/>
      </c>
      <c r="B12" s="39">
        <f>'Task List'!B11</f>
        <v/>
      </c>
      <c r="C12" s="6">
        <f>'Task List'!D11</f>
        <v/>
      </c>
      <c r="D12" s="36">
        <f>'Task List'!F11</f>
        <v/>
      </c>
      <c r="E12" s="36">
        <f>'Task List'!H11</f>
        <v/>
      </c>
      <c r="F12" s="36">
        <f>'Task List'!I11</f>
        <v/>
      </c>
      <c r="G12" s="38">
        <f>IF(AND(G$4&gt;=$E12,G$4&lt;=$F12),1,0)</f>
        <v/>
      </c>
      <c r="H12" s="38">
        <f>IF(AND(H$4&gt;=$E12,H$4&lt;=$F12),1,0)</f>
        <v/>
      </c>
      <c r="I12" s="38">
        <f>IF(AND(I$4&gt;=$E12,I$4&lt;=$F12),1,0)</f>
        <v/>
      </c>
      <c r="J12" s="38">
        <f>IF(AND(J$4&gt;=$E12,J$4&lt;=$F12),1,0)</f>
        <v/>
      </c>
      <c r="K12" s="38">
        <f>IF(AND(K$4&gt;=$E12,K$4&lt;=$F12),1,0)</f>
        <v/>
      </c>
      <c r="L12" s="38">
        <f>IF(AND(L$4&gt;=$E12,L$4&lt;=$F12),1,0)</f>
        <v/>
      </c>
      <c r="M12" s="38">
        <f>IF(AND(M$4&gt;=$E12,M$4&lt;=$F12),1,0)</f>
        <v/>
      </c>
      <c r="N12" s="38">
        <f>IF(AND(N$4&gt;=$E12,N$4&lt;=$F12),1,0)</f>
        <v/>
      </c>
      <c r="O12" s="38">
        <f>IF(AND(O$4&gt;=$E12,O$4&lt;=$F12),1,0)</f>
        <v/>
      </c>
      <c r="P12" s="38">
        <f>IF(AND(P$4&gt;=$E12,P$4&lt;=$F12),1,0)</f>
        <v/>
      </c>
      <c r="Q12" s="38">
        <f>IF(AND(Q$4&gt;=$E12,Q$4&lt;=$F12),1,0)</f>
        <v/>
      </c>
      <c r="R12" s="38">
        <f>IF(AND(R$4&gt;=$E12,R$4&lt;=$F12),1,0)</f>
        <v/>
      </c>
      <c r="S12" s="38">
        <f>IF(AND(S$4&gt;=$E12,S$4&lt;=$F12),1,0)</f>
        <v/>
      </c>
    </row>
    <row r="13">
      <c r="A13" s="36">
        <f>'Task List'!A12</f>
        <v/>
      </c>
      <c r="B13" s="39">
        <f>'Task List'!B12</f>
        <v/>
      </c>
      <c r="C13" s="6">
        <f>'Task List'!D12</f>
        <v/>
      </c>
      <c r="D13" s="36">
        <f>'Task List'!F12</f>
        <v/>
      </c>
      <c r="E13" s="36">
        <f>'Task List'!H12</f>
        <v/>
      </c>
      <c r="F13" s="36">
        <f>'Task List'!I12</f>
        <v/>
      </c>
      <c r="G13" s="38">
        <f>IF(AND(G$4&gt;=$E13,G$4&lt;=$F13),1,0)</f>
        <v/>
      </c>
      <c r="H13" s="38">
        <f>IF(AND(H$4&gt;=$E13,H$4&lt;=$F13),1,0)</f>
        <v/>
      </c>
      <c r="I13" s="38">
        <f>IF(AND(I$4&gt;=$E13,I$4&lt;=$F13),1,0)</f>
        <v/>
      </c>
      <c r="J13" s="38">
        <f>IF(AND(J$4&gt;=$E13,J$4&lt;=$F13),1,0)</f>
        <v/>
      </c>
      <c r="K13" s="38">
        <f>IF(AND(K$4&gt;=$E13,K$4&lt;=$F13),1,0)</f>
        <v/>
      </c>
      <c r="L13" s="38">
        <f>IF(AND(L$4&gt;=$E13,L$4&lt;=$F13),1,0)</f>
        <v/>
      </c>
      <c r="M13" s="38">
        <f>IF(AND(M$4&gt;=$E13,M$4&lt;=$F13),1,0)</f>
        <v/>
      </c>
      <c r="N13" s="38">
        <f>IF(AND(N$4&gt;=$E13,N$4&lt;=$F13),1,0)</f>
        <v/>
      </c>
      <c r="O13" s="38">
        <f>IF(AND(O$4&gt;=$E13,O$4&lt;=$F13),1,0)</f>
        <v/>
      </c>
      <c r="P13" s="38">
        <f>IF(AND(P$4&gt;=$E13,P$4&lt;=$F13),1,0)</f>
        <v/>
      </c>
      <c r="Q13" s="38">
        <f>IF(AND(Q$4&gt;=$E13,Q$4&lt;=$F13),1,0)</f>
        <v/>
      </c>
      <c r="R13" s="38">
        <f>IF(AND(R$4&gt;=$E13,R$4&lt;=$F13),1,0)</f>
        <v/>
      </c>
      <c r="S13" s="38">
        <f>IF(AND(S$4&gt;=$E13,S$4&lt;=$F13),1,0)</f>
        <v/>
      </c>
    </row>
    <row r="14">
      <c r="A14" s="36">
        <f>'Task List'!A13</f>
        <v/>
      </c>
      <c r="B14" s="39">
        <f>'Task List'!B13</f>
        <v/>
      </c>
      <c r="C14" s="6">
        <f>'Task List'!D13</f>
        <v/>
      </c>
      <c r="D14" s="36">
        <f>'Task List'!F13</f>
        <v/>
      </c>
      <c r="E14" s="36">
        <f>'Task List'!H13</f>
        <v/>
      </c>
      <c r="F14" s="36">
        <f>'Task List'!I13</f>
        <v/>
      </c>
      <c r="G14" s="38">
        <f>IF(AND(G$4&gt;=$E14,G$4&lt;=$F14),1,0)</f>
        <v/>
      </c>
      <c r="H14" s="38">
        <f>IF(AND(H$4&gt;=$E14,H$4&lt;=$F14),1,0)</f>
        <v/>
      </c>
      <c r="I14" s="38">
        <f>IF(AND(I$4&gt;=$E14,I$4&lt;=$F14),1,0)</f>
        <v/>
      </c>
      <c r="J14" s="38">
        <f>IF(AND(J$4&gt;=$E14,J$4&lt;=$F14),1,0)</f>
        <v/>
      </c>
      <c r="K14" s="38">
        <f>IF(AND(K$4&gt;=$E14,K$4&lt;=$F14),1,0)</f>
        <v/>
      </c>
      <c r="L14" s="38">
        <f>IF(AND(L$4&gt;=$E14,L$4&lt;=$F14),1,0)</f>
        <v/>
      </c>
      <c r="M14" s="38">
        <f>IF(AND(M$4&gt;=$E14,M$4&lt;=$F14),1,0)</f>
        <v/>
      </c>
      <c r="N14" s="38">
        <f>IF(AND(N$4&gt;=$E14,N$4&lt;=$F14),1,0)</f>
        <v/>
      </c>
      <c r="O14" s="38">
        <f>IF(AND(O$4&gt;=$E14,O$4&lt;=$F14),1,0)</f>
        <v/>
      </c>
      <c r="P14" s="38">
        <f>IF(AND(P$4&gt;=$E14,P$4&lt;=$F14),1,0)</f>
        <v/>
      </c>
      <c r="Q14" s="38">
        <f>IF(AND(Q$4&gt;=$E14,Q$4&lt;=$F14),1,0)</f>
        <v/>
      </c>
      <c r="R14" s="38">
        <f>IF(AND(R$4&gt;=$E14,R$4&lt;=$F14),1,0)</f>
        <v/>
      </c>
      <c r="S14" s="38">
        <f>IF(AND(S$4&gt;=$E14,S$4&lt;=$F14),1,0)</f>
        <v/>
      </c>
    </row>
    <row r="15">
      <c r="A15" s="36">
        <f>'Task List'!A14</f>
        <v/>
      </c>
      <c r="B15" s="39">
        <f>'Task List'!B14</f>
        <v/>
      </c>
      <c r="C15" s="6">
        <f>'Task List'!D14</f>
        <v/>
      </c>
      <c r="D15" s="36">
        <f>'Task List'!F14</f>
        <v/>
      </c>
      <c r="E15" s="36">
        <f>'Task List'!H14</f>
        <v/>
      </c>
      <c r="F15" s="36">
        <f>'Task List'!I14</f>
        <v/>
      </c>
      <c r="G15" s="38">
        <f>IF(AND(G$4&gt;=$E15,G$4&lt;=$F15),1,0)</f>
        <v/>
      </c>
      <c r="H15" s="38">
        <f>IF(AND(H$4&gt;=$E15,H$4&lt;=$F15),1,0)</f>
        <v/>
      </c>
      <c r="I15" s="38">
        <f>IF(AND(I$4&gt;=$E15,I$4&lt;=$F15),1,0)</f>
        <v/>
      </c>
      <c r="J15" s="38">
        <f>IF(AND(J$4&gt;=$E15,J$4&lt;=$F15),1,0)</f>
        <v/>
      </c>
      <c r="K15" s="38">
        <f>IF(AND(K$4&gt;=$E15,K$4&lt;=$F15),1,0)</f>
        <v/>
      </c>
      <c r="L15" s="38">
        <f>IF(AND(L$4&gt;=$E15,L$4&lt;=$F15),1,0)</f>
        <v/>
      </c>
      <c r="M15" s="38">
        <f>IF(AND(M$4&gt;=$E15,M$4&lt;=$F15),1,0)</f>
        <v/>
      </c>
      <c r="N15" s="38">
        <f>IF(AND(N$4&gt;=$E15,N$4&lt;=$F15),1,0)</f>
        <v/>
      </c>
      <c r="O15" s="38">
        <f>IF(AND(O$4&gt;=$E15,O$4&lt;=$F15),1,0)</f>
        <v/>
      </c>
      <c r="P15" s="38">
        <f>IF(AND(P$4&gt;=$E15,P$4&lt;=$F15),1,0)</f>
        <v/>
      </c>
      <c r="Q15" s="38">
        <f>IF(AND(Q$4&gt;=$E15,Q$4&lt;=$F15),1,0)</f>
        <v/>
      </c>
      <c r="R15" s="38">
        <f>IF(AND(R$4&gt;=$E15,R$4&lt;=$F15),1,0)</f>
        <v/>
      </c>
      <c r="S15" s="38">
        <f>IF(AND(S$4&gt;=$E15,S$4&lt;=$F15),1,0)</f>
        <v/>
      </c>
    </row>
    <row r="16">
      <c r="A16" s="36">
        <f>'Task List'!A15</f>
        <v/>
      </c>
      <c r="B16" s="39">
        <f>'Task List'!B15</f>
        <v/>
      </c>
      <c r="C16" s="6">
        <f>'Task List'!D15</f>
        <v/>
      </c>
      <c r="D16" s="36">
        <f>'Task List'!F15</f>
        <v/>
      </c>
      <c r="E16" s="36">
        <f>'Task List'!H15</f>
        <v/>
      </c>
      <c r="F16" s="36">
        <f>'Task List'!I15</f>
        <v/>
      </c>
      <c r="G16" s="38">
        <f>IF(AND(G$4&gt;=$E16,G$4&lt;=$F16),1,0)</f>
        <v/>
      </c>
      <c r="H16" s="38">
        <f>IF(AND(H$4&gt;=$E16,H$4&lt;=$F16),1,0)</f>
        <v/>
      </c>
      <c r="I16" s="38">
        <f>IF(AND(I$4&gt;=$E16,I$4&lt;=$F16),1,0)</f>
        <v/>
      </c>
      <c r="J16" s="38">
        <f>IF(AND(J$4&gt;=$E16,J$4&lt;=$F16),1,0)</f>
        <v/>
      </c>
      <c r="K16" s="38">
        <f>IF(AND(K$4&gt;=$E16,K$4&lt;=$F16),1,0)</f>
        <v/>
      </c>
      <c r="L16" s="38">
        <f>IF(AND(L$4&gt;=$E16,L$4&lt;=$F16),1,0)</f>
        <v/>
      </c>
      <c r="M16" s="38">
        <f>IF(AND(M$4&gt;=$E16,M$4&lt;=$F16),1,0)</f>
        <v/>
      </c>
      <c r="N16" s="38">
        <f>IF(AND(N$4&gt;=$E16,N$4&lt;=$F16),1,0)</f>
        <v/>
      </c>
      <c r="O16" s="38">
        <f>IF(AND(O$4&gt;=$E16,O$4&lt;=$F16),1,0)</f>
        <v/>
      </c>
      <c r="P16" s="38">
        <f>IF(AND(P$4&gt;=$E16,P$4&lt;=$F16),1,0)</f>
        <v/>
      </c>
      <c r="Q16" s="38">
        <f>IF(AND(Q$4&gt;=$E16,Q$4&lt;=$F16),1,0)</f>
        <v/>
      </c>
      <c r="R16" s="38">
        <f>IF(AND(R$4&gt;=$E16,R$4&lt;=$F16),1,0)</f>
        <v/>
      </c>
      <c r="S16" s="38">
        <f>IF(AND(S$4&gt;=$E16,S$4&lt;=$F16),1,0)</f>
        <v/>
      </c>
    </row>
    <row r="17">
      <c r="A17" s="36">
        <f>'Task List'!A16</f>
        <v/>
      </c>
      <c r="B17" s="39">
        <f>'Task List'!B16</f>
        <v/>
      </c>
      <c r="C17" s="6">
        <f>'Task List'!D16</f>
        <v/>
      </c>
      <c r="D17" s="36">
        <f>'Task List'!F16</f>
        <v/>
      </c>
      <c r="E17" s="36">
        <f>'Task List'!H16</f>
        <v/>
      </c>
      <c r="F17" s="36">
        <f>'Task List'!I16</f>
        <v/>
      </c>
      <c r="G17" s="38">
        <f>IF(AND(G$4&gt;=$E17,G$4&lt;=$F17),1,0)</f>
        <v/>
      </c>
      <c r="H17" s="38">
        <f>IF(AND(H$4&gt;=$E17,H$4&lt;=$F17),1,0)</f>
        <v/>
      </c>
      <c r="I17" s="38">
        <f>IF(AND(I$4&gt;=$E17,I$4&lt;=$F17),1,0)</f>
        <v/>
      </c>
      <c r="J17" s="38">
        <f>IF(AND(J$4&gt;=$E17,J$4&lt;=$F17),1,0)</f>
        <v/>
      </c>
      <c r="K17" s="38">
        <f>IF(AND(K$4&gt;=$E17,K$4&lt;=$F17),1,0)</f>
        <v/>
      </c>
      <c r="L17" s="38">
        <f>IF(AND(L$4&gt;=$E17,L$4&lt;=$F17),1,0)</f>
        <v/>
      </c>
      <c r="M17" s="38">
        <f>IF(AND(M$4&gt;=$E17,M$4&lt;=$F17),1,0)</f>
        <v/>
      </c>
      <c r="N17" s="38">
        <f>IF(AND(N$4&gt;=$E17,N$4&lt;=$F17),1,0)</f>
        <v/>
      </c>
      <c r="O17" s="38">
        <f>IF(AND(O$4&gt;=$E17,O$4&lt;=$F17),1,0)</f>
        <v/>
      </c>
      <c r="P17" s="38">
        <f>IF(AND(P$4&gt;=$E17,P$4&lt;=$F17),1,0)</f>
        <v/>
      </c>
      <c r="Q17" s="38">
        <f>IF(AND(Q$4&gt;=$E17,Q$4&lt;=$F17),1,0)</f>
        <v/>
      </c>
      <c r="R17" s="38">
        <f>IF(AND(R$4&gt;=$E17,R$4&lt;=$F17),1,0)</f>
        <v/>
      </c>
      <c r="S17" s="38">
        <f>IF(AND(S$4&gt;=$E17,S$4&lt;=$F17),1,0)</f>
        <v/>
      </c>
    </row>
    <row r="18">
      <c r="A18" s="36">
        <f>'Task List'!A17</f>
        <v/>
      </c>
      <c r="B18" s="40">
        <f>'Task List'!B17</f>
        <v/>
      </c>
      <c r="C18" s="6">
        <f>'Task List'!D17</f>
        <v/>
      </c>
      <c r="D18" s="36">
        <f>'Task List'!F17</f>
        <v/>
      </c>
      <c r="E18" s="36">
        <f>'Task List'!H17</f>
        <v/>
      </c>
      <c r="F18" s="36">
        <f>'Task List'!I17</f>
        <v/>
      </c>
      <c r="G18" s="38">
        <f>IF(AND(G$4&gt;=$E18,G$4&lt;=$F18),1,0)</f>
        <v/>
      </c>
      <c r="H18" s="38">
        <f>IF(AND(H$4&gt;=$E18,H$4&lt;=$F18),1,0)</f>
        <v/>
      </c>
      <c r="I18" s="38">
        <f>IF(AND(I$4&gt;=$E18,I$4&lt;=$F18),1,0)</f>
        <v/>
      </c>
      <c r="J18" s="38">
        <f>IF(AND(J$4&gt;=$E18,J$4&lt;=$F18),1,0)</f>
        <v/>
      </c>
      <c r="K18" s="38">
        <f>IF(AND(K$4&gt;=$E18,K$4&lt;=$F18),1,0)</f>
        <v/>
      </c>
      <c r="L18" s="38">
        <f>IF(AND(L$4&gt;=$E18,L$4&lt;=$F18),1,0)</f>
        <v/>
      </c>
      <c r="M18" s="38">
        <f>IF(AND(M$4&gt;=$E18,M$4&lt;=$F18),1,0)</f>
        <v/>
      </c>
      <c r="N18" s="38">
        <f>IF(AND(N$4&gt;=$E18,N$4&lt;=$F18),1,0)</f>
        <v/>
      </c>
      <c r="O18" s="38">
        <f>IF(AND(O$4&gt;=$E18,O$4&lt;=$F18),1,0)</f>
        <v/>
      </c>
      <c r="P18" s="38">
        <f>IF(AND(P$4&gt;=$E18,P$4&lt;=$F18),1,0)</f>
        <v/>
      </c>
      <c r="Q18" s="38">
        <f>IF(AND(Q$4&gt;=$E18,Q$4&lt;=$F18),1,0)</f>
        <v/>
      </c>
      <c r="R18" s="38">
        <f>IF(AND(R$4&gt;=$E18,R$4&lt;=$F18),1,0)</f>
        <v/>
      </c>
      <c r="S18" s="38">
        <f>IF(AND(S$4&gt;=$E18,S$4&lt;=$F18),1,0)</f>
        <v/>
      </c>
    </row>
    <row r="19">
      <c r="A19" s="36">
        <f>'Task List'!A18</f>
        <v/>
      </c>
      <c r="B19" s="40">
        <f>'Task List'!B18</f>
        <v/>
      </c>
      <c r="C19" s="6">
        <f>'Task List'!D18</f>
        <v/>
      </c>
      <c r="D19" s="36">
        <f>'Task List'!F18</f>
        <v/>
      </c>
      <c r="E19" s="36">
        <f>'Task List'!H18</f>
        <v/>
      </c>
      <c r="F19" s="36">
        <f>'Task List'!I18</f>
        <v/>
      </c>
      <c r="G19" s="38">
        <f>IF(AND(G$4&gt;=$E19,G$4&lt;=$F19),1,0)</f>
        <v/>
      </c>
      <c r="H19" s="38">
        <f>IF(AND(H$4&gt;=$E19,H$4&lt;=$F19),1,0)</f>
        <v/>
      </c>
      <c r="I19" s="38">
        <f>IF(AND(I$4&gt;=$E19,I$4&lt;=$F19),1,0)</f>
        <v/>
      </c>
      <c r="J19" s="38">
        <f>IF(AND(J$4&gt;=$E19,J$4&lt;=$F19),1,0)</f>
        <v/>
      </c>
      <c r="K19" s="38">
        <f>IF(AND(K$4&gt;=$E19,K$4&lt;=$F19),1,0)</f>
        <v/>
      </c>
      <c r="L19" s="38">
        <f>IF(AND(L$4&gt;=$E19,L$4&lt;=$F19),1,0)</f>
        <v/>
      </c>
      <c r="M19" s="38">
        <f>IF(AND(M$4&gt;=$E19,M$4&lt;=$F19),1,0)</f>
        <v/>
      </c>
      <c r="N19" s="38">
        <f>IF(AND(N$4&gt;=$E19,N$4&lt;=$F19),1,0)</f>
        <v/>
      </c>
      <c r="O19" s="38">
        <f>IF(AND(O$4&gt;=$E19,O$4&lt;=$F19),1,0)</f>
        <v/>
      </c>
      <c r="P19" s="38">
        <f>IF(AND(P$4&gt;=$E19,P$4&lt;=$F19),1,0)</f>
        <v/>
      </c>
      <c r="Q19" s="38">
        <f>IF(AND(Q$4&gt;=$E19,Q$4&lt;=$F19),1,0)</f>
        <v/>
      </c>
      <c r="R19" s="38">
        <f>IF(AND(R$4&gt;=$E19,R$4&lt;=$F19),1,0)</f>
        <v/>
      </c>
      <c r="S19" s="38">
        <f>IF(AND(S$4&gt;=$E19,S$4&lt;=$F19),1,0)</f>
        <v/>
      </c>
    </row>
    <row r="20">
      <c r="A20" s="36">
        <f>'Task List'!A19</f>
        <v/>
      </c>
      <c r="B20" s="40">
        <f>'Task List'!B19</f>
        <v/>
      </c>
      <c r="C20" s="6">
        <f>'Task List'!D19</f>
        <v/>
      </c>
      <c r="D20" s="36">
        <f>'Task List'!F19</f>
        <v/>
      </c>
      <c r="E20" s="36">
        <f>'Task List'!H19</f>
        <v/>
      </c>
      <c r="F20" s="36">
        <f>'Task List'!I19</f>
        <v/>
      </c>
      <c r="G20" s="38">
        <f>IF(AND(G$4&gt;=$E20,G$4&lt;=$F20),1,0)</f>
        <v/>
      </c>
      <c r="H20" s="38">
        <f>IF(AND(H$4&gt;=$E20,H$4&lt;=$F20),1,0)</f>
        <v/>
      </c>
      <c r="I20" s="38">
        <f>IF(AND(I$4&gt;=$E20,I$4&lt;=$F20),1,0)</f>
        <v/>
      </c>
      <c r="J20" s="38">
        <f>IF(AND(J$4&gt;=$E20,J$4&lt;=$F20),1,0)</f>
        <v/>
      </c>
      <c r="K20" s="38">
        <f>IF(AND(K$4&gt;=$E20,K$4&lt;=$F20),1,0)</f>
        <v/>
      </c>
      <c r="L20" s="38">
        <f>IF(AND(L$4&gt;=$E20,L$4&lt;=$F20),1,0)</f>
        <v/>
      </c>
      <c r="M20" s="38">
        <f>IF(AND(M$4&gt;=$E20,M$4&lt;=$F20),1,0)</f>
        <v/>
      </c>
      <c r="N20" s="38">
        <f>IF(AND(N$4&gt;=$E20,N$4&lt;=$F20),1,0)</f>
        <v/>
      </c>
      <c r="O20" s="38">
        <f>IF(AND(O$4&gt;=$E20,O$4&lt;=$F20),1,0)</f>
        <v/>
      </c>
      <c r="P20" s="38">
        <f>IF(AND(P$4&gt;=$E20,P$4&lt;=$F20),1,0)</f>
        <v/>
      </c>
      <c r="Q20" s="38">
        <f>IF(AND(Q$4&gt;=$E20,Q$4&lt;=$F20),1,0)</f>
        <v/>
      </c>
      <c r="R20" s="38">
        <f>IF(AND(R$4&gt;=$E20,R$4&lt;=$F20),1,0)</f>
        <v/>
      </c>
      <c r="S20" s="38">
        <f>IF(AND(S$4&gt;=$E20,S$4&lt;=$F20),1,0)</f>
        <v/>
      </c>
    </row>
    <row r="21">
      <c r="A21" s="36">
        <f>'Task List'!A20</f>
        <v/>
      </c>
      <c r="B21" s="40">
        <f>'Task List'!B20</f>
        <v/>
      </c>
      <c r="C21" s="6">
        <f>'Task List'!D20</f>
        <v/>
      </c>
      <c r="D21" s="36">
        <f>'Task List'!F20</f>
        <v/>
      </c>
      <c r="E21" s="36">
        <f>'Task List'!H20</f>
        <v/>
      </c>
      <c r="F21" s="36">
        <f>'Task List'!I20</f>
        <v/>
      </c>
      <c r="G21" s="38">
        <f>IF(AND(G$4&gt;=$E21,G$4&lt;=$F21),1,0)</f>
        <v/>
      </c>
      <c r="H21" s="38">
        <f>IF(AND(H$4&gt;=$E21,H$4&lt;=$F21),1,0)</f>
        <v/>
      </c>
      <c r="I21" s="38">
        <f>IF(AND(I$4&gt;=$E21,I$4&lt;=$F21),1,0)</f>
        <v/>
      </c>
      <c r="J21" s="38">
        <f>IF(AND(J$4&gt;=$E21,J$4&lt;=$F21),1,0)</f>
        <v/>
      </c>
      <c r="K21" s="38">
        <f>IF(AND(K$4&gt;=$E21,K$4&lt;=$F21),1,0)</f>
        <v/>
      </c>
      <c r="L21" s="38">
        <f>IF(AND(L$4&gt;=$E21,L$4&lt;=$F21),1,0)</f>
        <v/>
      </c>
      <c r="M21" s="38">
        <f>IF(AND(M$4&gt;=$E21,M$4&lt;=$F21),1,0)</f>
        <v/>
      </c>
      <c r="N21" s="38">
        <f>IF(AND(N$4&gt;=$E21,N$4&lt;=$F21),1,0)</f>
        <v/>
      </c>
      <c r="O21" s="38">
        <f>IF(AND(O$4&gt;=$E21,O$4&lt;=$F21),1,0)</f>
        <v/>
      </c>
      <c r="P21" s="38">
        <f>IF(AND(P$4&gt;=$E21,P$4&lt;=$F21),1,0)</f>
        <v/>
      </c>
      <c r="Q21" s="38">
        <f>IF(AND(Q$4&gt;=$E21,Q$4&lt;=$F21),1,0)</f>
        <v/>
      </c>
      <c r="R21" s="38">
        <f>IF(AND(R$4&gt;=$E21,R$4&lt;=$F21),1,0)</f>
        <v/>
      </c>
      <c r="S21" s="38">
        <f>IF(AND(S$4&gt;=$E21,S$4&lt;=$F21),1,0)</f>
        <v/>
      </c>
    </row>
    <row r="22">
      <c r="A22" s="36">
        <f>'Task List'!A21</f>
        <v/>
      </c>
      <c r="B22" s="40">
        <f>'Task List'!B21</f>
        <v/>
      </c>
      <c r="C22" s="6">
        <f>'Task List'!D21</f>
        <v/>
      </c>
      <c r="D22" s="36">
        <f>'Task List'!F21</f>
        <v/>
      </c>
      <c r="E22" s="36">
        <f>'Task List'!H21</f>
        <v/>
      </c>
      <c r="F22" s="36">
        <f>'Task List'!I21</f>
        <v/>
      </c>
      <c r="G22" s="38">
        <f>IF(AND(G$4&gt;=$E22,G$4&lt;=$F22),1,0)</f>
        <v/>
      </c>
      <c r="H22" s="38">
        <f>IF(AND(H$4&gt;=$E22,H$4&lt;=$F22),1,0)</f>
        <v/>
      </c>
      <c r="I22" s="38">
        <f>IF(AND(I$4&gt;=$E22,I$4&lt;=$F22),1,0)</f>
        <v/>
      </c>
      <c r="J22" s="38">
        <f>IF(AND(J$4&gt;=$E22,J$4&lt;=$F22),1,0)</f>
        <v/>
      </c>
      <c r="K22" s="38">
        <f>IF(AND(K$4&gt;=$E22,K$4&lt;=$F22),1,0)</f>
        <v/>
      </c>
      <c r="L22" s="38">
        <f>IF(AND(L$4&gt;=$E22,L$4&lt;=$F22),1,0)</f>
        <v/>
      </c>
      <c r="M22" s="38">
        <f>IF(AND(M$4&gt;=$E22,M$4&lt;=$F22),1,0)</f>
        <v/>
      </c>
      <c r="N22" s="38">
        <f>IF(AND(N$4&gt;=$E22,N$4&lt;=$F22),1,0)</f>
        <v/>
      </c>
      <c r="O22" s="38">
        <f>IF(AND(O$4&gt;=$E22,O$4&lt;=$F22),1,0)</f>
        <v/>
      </c>
      <c r="P22" s="38">
        <f>IF(AND(P$4&gt;=$E22,P$4&lt;=$F22),1,0)</f>
        <v/>
      </c>
      <c r="Q22" s="38">
        <f>IF(AND(Q$4&gt;=$E22,Q$4&lt;=$F22),1,0)</f>
        <v/>
      </c>
      <c r="R22" s="38">
        <f>IF(AND(R$4&gt;=$E22,R$4&lt;=$F22),1,0)</f>
        <v/>
      </c>
      <c r="S22" s="38">
        <f>IF(AND(S$4&gt;=$E22,S$4&lt;=$F22),1,0)</f>
        <v/>
      </c>
    </row>
    <row r="23">
      <c r="A23" s="36">
        <f>'Task List'!A22</f>
        <v/>
      </c>
      <c r="B23" s="40">
        <f>'Task List'!B22</f>
        <v/>
      </c>
      <c r="C23" s="6">
        <f>'Task List'!D22</f>
        <v/>
      </c>
      <c r="D23" s="36">
        <f>'Task List'!F22</f>
        <v/>
      </c>
      <c r="E23" s="36">
        <f>'Task List'!H22</f>
        <v/>
      </c>
      <c r="F23" s="36">
        <f>'Task List'!I22</f>
        <v/>
      </c>
      <c r="G23" s="38">
        <f>IF(AND(G$4&gt;=$E23,G$4&lt;=$F23),1,0)</f>
        <v/>
      </c>
      <c r="H23" s="38">
        <f>IF(AND(H$4&gt;=$E23,H$4&lt;=$F23),1,0)</f>
        <v/>
      </c>
      <c r="I23" s="38">
        <f>IF(AND(I$4&gt;=$E23,I$4&lt;=$F23),1,0)</f>
        <v/>
      </c>
      <c r="J23" s="38">
        <f>IF(AND(J$4&gt;=$E23,J$4&lt;=$F23),1,0)</f>
        <v/>
      </c>
      <c r="K23" s="38">
        <f>IF(AND(K$4&gt;=$E23,K$4&lt;=$F23),1,0)</f>
        <v/>
      </c>
      <c r="L23" s="38">
        <f>IF(AND(L$4&gt;=$E23,L$4&lt;=$F23),1,0)</f>
        <v/>
      </c>
      <c r="M23" s="38">
        <f>IF(AND(M$4&gt;=$E23,M$4&lt;=$F23),1,0)</f>
        <v/>
      </c>
      <c r="N23" s="38">
        <f>IF(AND(N$4&gt;=$E23,N$4&lt;=$F23),1,0)</f>
        <v/>
      </c>
      <c r="O23" s="38">
        <f>IF(AND(O$4&gt;=$E23,O$4&lt;=$F23),1,0)</f>
        <v/>
      </c>
      <c r="P23" s="38">
        <f>IF(AND(P$4&gt;=$E23,P$4&lt;=$F23),1,0)</f>
        <v/>
      </c>
      <c r="Q23" s="38">
        <f>IF(AND(Q$4&gt;=$E23,Q$4&lt;=$F23),1,0)</f>
        <v/>
      </c>
      <c r="R23" s="38">
        <f>IF(AND(R$4&gt;=$E23,R$4&lt;=$F23),1,0)</f>
        <v/>
      </c>
      <c r="S23" s="38">
        <f>IF(AND(S$4&gt;=$E23,S$4&lt;=$F23),1,0)</f>
        <v/>
      </c>
    </row>
    <row r="24">
      <c r="A24" s="36">
        <f>'Task List'!A23</f>
        <v/>
      </c>
      <c r="B24" s="40">
        <f>'Task List'!B23</f>
        <v/>
      </c>
      <c r="C24" s="6">
        <f>'Task List'!D23</f>
        <v/>
      </c>
      <c r="D24" s="36">
        <f>'Task List'!F23</f>
        <v/>
      </c>
      <c r="E24" s="36">
        <f>'Task List'!H23</f>
        <v/>
      </c>
      <c r="F24" s="36">
        <f>'Task List'!I23</f>
        <v/>
      </c>
      <c r="G24" s="38">
        <f>IF(AND(G$4&gt;=$E24,G$4&lt;=$F24),1,0)</f>
        <v/>
      </c>
      <c r="H24" s="38">
        <f>IF(AND(H$4&gt;=$E24,H$4&lt;=$F24),1,0)</f>
        <v/>
      </c>
      <c r="I24" s="38">
        <f>IF(AND(I$4&gt;=$E24,I$4&lt;=$F24),1,0)</f>
        <v/>
      </c>
      <c r="J24" s="38">
        <f>IF(AND(J$4&gt;=$E24,J$4&lt;=$F24),1,0)</f>
        <v/>
      </c>
      <c r="K24" s="38">
        <f>IF(AND(K$4&gt;=$E24,K$4&lt;=$F24),1,0)</f>
        <v/>
      </c>
      <c r="L24" s="38">
        <f>IF(AND(L$4&gt;=$E24,L$4&lt;=$F24),1,0)</f>
        <v/>
      </c>
      <c r="M24" s="38">
        <f>IF(AND(M$4&gt;=$E24,M$4&lt;=$F24),1,0)</f>
        <v/>
      </c>
      <c r="N24" s="38">
        <f>IF(AND(N$4&gt;=$E24,N$4&lt;=$F24),1,0)</f>
        <v/>
      </c>
      <c r="O24" s="38">
        <f>IF(AND(O$4&gt;=$E24,O$4&lt;=$F24),1,0)</f>
        <v/>
      </c>
      <c r="P24" s="38">
        <f>IF(AND(P$4&gt;=$E24,P$4&lt;=$F24),1,0)</f>
        <v/>
      </c>
      <c r="Q24" s="38">
        <f>IF(AND(Q$4&gt;=$E24,Q$4&lt;=$F24),1,0)</f>
        <v/>
      </c>
      <c r="R24" s="38">
        <f>IF(AND(R$4&gt;=$E24,R$4&lt;=$F24),1,0)</f>
        <v/>
      </c>
      <c r="S24" s="38">
        <f>IF(AND(S$4&gt;=$E24,S$4&lt;=$F24),1,0)</f>
        <v/>
      </c>
    </row>
    <row r="25">
      <c r="A25" s="36">
        <f>'Task List'!A24</f>
        <v/>
      </c>
      <c r="B25" s="40">
        <f>'Task List'!B24</f>
        <v/>
      </c>
      <c r="C25" s="6">
        <f>'Task List'!D24</f>
        <v/>
      </c>
      <c r="D25" s="36">
        <f>'Task List'!F24</f>
        <v/>
      </c>
      <c r="E25" s="36">
        <f>'Task List'!H24</f>
        <v/>
      </c>
      <c r="F25" s="36">
        <f>'Task List'!I24</f>
        <v/>
      </c>
      <c r="G25" s="38">
        <f>IF(AND(G$4&gt;=$E25,G$4&lt;=$F25),1,0)</f>
        <v/>
      </c>
      <c r="H25" s="38">
        <f>IF(AND(H$4&gt;=$E25,H$4&lt;=$F25),1,0)</f>
        <v/>
      </c>
      <c r="I25" s="38">
        <f>IF(AND(I$4&gt;=$E25,I$4&lt;=$F25),1,0)</f>
        <v/>
      </c>
      <c r="J25" s="38">
        <f>IF(AND(J$4&gt;=$E25,J$4&lt;=$F25),1,0)</f>
        <v/>
      </c>
      <c r="K25" s="38">
        <f>IF(AND(K$4&gt;=$E25,K$4&lt;=$F25),1,0)</f>
        <v/>
      </c>
      <c r="L25" s="38">
        <f>IF(AND(L$4&gt;=$E25,L$4&lt;=$F25),1,0)</f>
        <v/>
      </c>
      <c r="M25" s="38">
        <f>IF(AND(M$4&gt;=$E25,M$4&lt;=$F25),1,0)</f>
        <v/>
      </c>
      <c r="N25" s="38">
        <f>IF(AND(N$4&gt;=$E25,N$4&lt;=$F25),1,0)</f>
        <v/>
      </c>
      <c r="O25" s="38">
        <f>IF(AND(O$4&gt;=$E25,O$4&lt;=$F25),1,0)</f>
        <v/>
      </c>
      <c r="P25" s="38">
        <f>IF(AND(P$4&gt;=$E25,P$4&lt;=$F25),1,0)</f>
        <v/>
      </c>
      <c r="Q25" s="38">
        <f>IF(AND(Q$4&gt;=$E25,Q$4&lt;=$F25),1,0)</f>
        <v/>
      </c>
      <c r="R25" s="38">
        <f>IF(AND(R$4&gt;=$E25,R$4&lt;=$F25),1,0)</f>
        <v/>
      </c>
      <c r="S25" s="38">
        <f>IF(AND(S$4&gt;=$E25,S$4&lt;=$F25),1,0)</f>
        <v/>
      </c>
    </row>
    <row r="26">
      <c r="A26" s="36">
        <f>'Task List'!A25</f>
        <v/>
      </c>
      <c r="B26" s="41">
        <f>'Task List'!B25</f>
        <v/>
      </c>
      <c r="C26" s="6">
        <f>'Task List'!D25</f>
        <v/>
      </c>
      <c r="D26" s="36">
        <f>'Task List'!F25</f>
        <v/>
      </c>
      <c r="E26" s="36">
        <f>'Task List'!H25</f>
        <v/>
      </c>
      <c r="F26" s="36">
        <f>'Task List'!I25</f>
        <v/>
      </c>
      <c r="G26" s="38">
        <f>IF(AND(G$4&gt;=$E26,G$4&lt;=$F26),1,0)</f>
        <v/>
      </c>
      <c r="H26" s="38">
        <f>IF(AND(H$4&gt;=$E26,H$4&lt;=$F26),1,0)</f>
        <v/>
      </c>
      <c r="I26" s="38">
        <f>IF(AND(I$4&gt;=$E26,I$4&lt;=$F26),1,0)</f>
        <v/>
      </c>
      <c r="J26" s="38">
        <f>IF(AND(J$4&gt;=$E26,J$4&lt;=$F26),1,0)</f>
        <v/>
      </c>
      <c r="K26" s="38">
        <f>IF(AND(K$4&gt;=$E26,K$4&lt;=$F26),1,0)</f>
        <v/>
      </c>
      <c r="L26" s="38">
        <f>IF(AND(L$4&gt;=$E26,L$4&lt;=$F26),1,0)</f>
        <v/>
      </c>
      <c r="M26" s="38">
        <f>IF(AND(M$4&gt;=$E26,M$4&lt;=$F26),1,0)</f>
        <v/>
      </c>
      <c r="N26" s="38">
        <f>IF(AND(N$4&gt;=$E26,N$4&lt;=$F26),1,0)</f>
        <v/>
      </c>
      <c r="O26" s="38">
        <f>IF(AND(O$4&gt;=$E26,O$4&lt;=$F26),1,0)</f>
        <v/>
      </c>
      <c r="P26" s="38">
        <f>IF(AND(P$4&gt;=$E26,P$4&lt;=$F26),1,0)</f>
        <v/>
      </c>
      <c r="Q26" s="38">
        <f>IF(AND(Q$4&gt;=$E26,Q$4&lt;=$F26),1,0)</f>
        <v/>
      </c>
      <c r="R26" s="38">
        <f>IF(AND(R$4&gt;=$E26,R$4&lt;=$F26),1,0)</f>
        <v/>
      </c>
      <c r="S26" s="38">
        <f>IF(AND(S$4&gt;=$E26,S$4&lt;=$F26),1,0)</f>
        <v/>
      </c>
    </row>
    <row r="27">
      <c r="A27" s="36">
        <f>'Task List'!A26</f>
        <v/>
      </c>
      <c r="B27" s="41">
        <f>'Task List'!B26</f>
        <v/>
      </c>
      <c r="C27" s="6">
        <f>'Task List'!D26</f>
        <v/>
      </c>
      <c r="D27" s="36">
        <f>'Task List'!F26</f>
        <v/>
      </c>
      <c r="E27" s="36">
        <f>'Task List'!H26</f>
        <v/>
      </c>
      <c r="F27" s="36">
        <f>'Task List'!I26</f>
        <v/>
      </c>
      <c r="G27" s="38">
        <f>IF(AND(G$4&gt;=$E27,G$4&lt;=$F27),1,0)</f>
        <v/>
      </c>
      <c r="H27" s="38">
        <f>IF(AND(H$4&gt;=$E27,H$4&lt;=$F27),1,0)</f>
        <v/>
      </c>
      <c r="I27" s="38">
        <f>IF(AND(I$4&gt;=$E27,I$4&lt;=$F27),1,0)</f>
        <v/>
      </c>
      <c r="J27" s="38">
        <f>IF(AND(J$4&gt;=$E27,J$4&lt;=$F27),1,0)</f>
        <v/>
      </c>
      <c r="K27" s="38">
        <f>IF(AND(K$4&gt;=$E27,K$4&lt;=$F27),1,0)</f>
        <v/>
      </c>
      <c r="L27" s="38">
        <f>IF(AND(L$4&gt;=$E27,L$4&lt;=$F27),1,0)</f>
        <v/>
      </c>
      <c r="M27" s="38">
        <f>IF(AND(M$4&gt;=$E27,M$4&lt;=$F27),1,0)</f>
        <v/>
      </c>
      <c r="N27" s="38">
        <f>IF(AND(N$4&gt;=$E27,N$4&lt;=$F27),1,0)</f>
        <v/>
      </c>
      <c r="O27" s="38">
        <f>IF(AND(O$4&gt;=$E27,O$4&lt;=$F27),1,0)</f>
        <v/>
      </c>
      <c r="P27" s="38">
        <f>IF(AND(P$4&gt;=$E27,P$4&lt;=$F27),1,0)</f>
        <v/>
      </c>
      <c r="Q27" s="38">
        <f>IF(AND(Q$4&gt;=$E27,Q$4&lt;=$F27),1,0)</f>
        <v/>
      </c>
      <c r="R27" s="38">
        <f>IF(AND(R$4&gt;=$E27,R$4&lt;=$F27),1,0)</f>
        <v/>
      </c>
      <c r="S27" s="38">
        <f>IF(AND(S$4&gt;=$E27,S$4&lt;=$F27),1,0)</f>
        <v/>
      </c>
    </row>
    <row r="28">
      <c r="A28" s="36">
        <f>'Task List'!A27</f>
        <v/>
      </c>
      <c r="B28" s="41">
        <f>'Task List'!B27</f>
        <v/>
      </c>
      <c r="C28" s="6">
        <f>'Task List'!D27</f>
        <v/>
      </c>
      <c r="D28" s="36">
        <f>'Task List'!F27</f>
        <v/>
      </c>
      <c r="E28" s="36">
        <f>'Task List'!H27</f>
        <v/>
      </c>
      <c r="F28" s="36">
        <f>'Task List'!I27</f>
        <v/>
      </c>
      <c r="G28" s="38">
        <f>IF(AND(G$4&gt;=$E28,G$4&lt;=$F28),1,0)</f>
        <v/>
      </c>
      <c r="H28" s="38">
        <f>IF(AND(H$4&gt;=$E28,H$4&lt;=$F28),1,0)</f>
        <v/>
      </c>
      <c r="I28" s="38">
        <f>IF(AND(I$4&gt;=$E28,I$4&lt;=$F28),1,0)</f>
        <v/>
      </c>
      <c r="J28" s="38">
        <f>IF(AND(J$4&gt;=$E28,J$4&lt;=$F28),1,0)</f>
        <v/>
      </c>
      <c r="K28" s="38">
        <f>IF(AND(K$4&gt;=$E28,K$4&lt;=$F28),1,0)</f>
        <v/>
      </c>
      <c r="L28" s="38">
        <f>IF(AND(L$4&gt;=$E28,L$4&lt;=$F28),1,0)</f>
        <v/>
      </c>
      <c r="M28" s="38">
        <f>IF(AND(M$4&gt;=$E28,M$4&lt;=$F28),1,0)</f>
        <v/>
      </c>
      <c r="N28" s="38">
        <f>IF(AND(N$4&gt;=$E28,N$4&lt;=$F28),1,0)</f>
        <v/>
      </c>
      <c r="O28" s="38">
        <f>IF(AND(O$4&gt;=$E28,O$4&lt;=$F28),1,0)</f>
        <v/>
      </c>
      <c r="P28" s="38">
        <f>IF(AND(P$4&gt;=$E28,P$4&lt;=$F28),1,0)</f>
        <v/>
      </c>
      <c r="Q28" s="38">
        <f>IF(AND(Q$4&gt;=$E28,Q$4&lt;=$F28),1,0)</f>
        <v/>
      </c>
      <c r="R28" s="38">
        <f>IF(AND(R$4&gt;=$E28,R$4&lt;=$F28),1,0)</f>
        <v/>
      </c>
      <c r="S28" s="38">
        <f>IF(AND(S$4&gt;=$E28,S$4&lt;=$F28),1,0)</f>
        <v/>
      </c>
    </row>
    <row r="29">
      <c r="A29" s="36">
        <f>'Task List'!A28</f>
        <v/>
      </c>
      <c r="B29" s="41">
        <f>'Task List'!B28</f>
        <v/>
      </c>
      <c r="C29" s="6">
        <f>'Task List'!D28</f>
        <v/>
      </c>
      <c r="D29" s="36">
        <f>'Task List'!F28</f>
        <v/>
      </c>
      <c r="E29" s="36">
        <f>'Task List'!H28</f>
        <v/>
      </c>
      <c r="F29" s="36">
        <f>'Task List'!I28</f>
        <v/>
      </c>
      <c r="G29" s="38">
        <f>IF(AND(G$4&gt;=$E29,G$4&lt;=$F29),1,0)</f>
        <v/>
      </c>
      <c r="H29" s="38">
        <f>IF(AND(H$4&gt;=$E29,H$4&lt;=$F29),1,0)</f>
        <v/>
      </c>
      <c r="I29" s="38">
        <f>IF(AND(I$4&gt;=$E29,I$4&lt;=$F29),1,0)</f>
        <v/>
      </c>
      <c r="J29" s="38">
        <f>IF(AND(J$4&gt;=$E29,J$4&lt;=$F29),1,0)</f>
        <v/>
      </c>
      <c r="K29" s="38">
        <f>IF(AND(K$4&gt;=$E29,K$4&lt;=$F29),1,0)</f>
        <v/>
      </c>
      <c r="L29" s="38">
        <f>IF(AND(L$4&gt;=$E29,L$4&lt;=$F29),1,0)</f>
        <v/>
      </c>
      <c r="M29" s="38">
        <f>IF(AND(M$4&gt;=$E29,M$4&lt;=$F29),1,0)</f>
        <v/>
      </c>
      <c r="N29" s="38">
        <f>IF(AND(N$4&gt;=$E29,N$4&lt;=$F29),1,0)</f>
        <v/>
      </c>
      <c r="O29" s="38">
        <f>IF(AND(O$4&gt;=$E29,O$4&lt;=$F29),1,0)</f>
        <v/>
      </c>
      <c r="P29" s="38">
        <f>IF(AND(P$4&gt;=$E29,P$4&lt;=$F29),1,0)</f>
        <v/>
      </c>
      <c r="Q29" s="38">
        <f>IF(AND(Q$4&gt;=$E29,Q$4&lt;=$F29),1,0)</f>
        <v/>
      </c>
      <c r="R29" s="38">
        <f>IF(AND(R$4&gt;=$E29,R$4&lt;=$F29),1,0)</f>
        <v/>
      </c>
      <c r="S29" s="38">
        <f>IF(AND(S$4&gt;=$E29,S$4&lt;=$F29),1,0)</f>
        <v/>
      </c>
    </row>
    <row r="30">
      <c r="A30" s="36">
        <f>'Task List'!A29</f>
        <v/>
      </c>
      <c r="B30" s="41">
        <f>'Task List'!B29</f>
        <v/>
      </c>
      <c r="C30" s="6">
        <f>'Task List'!D29</f>
        <v/>
      </c>
      <c r="D30" s="36">
        <f>'Task List'!F29</f>
        <v/>
      </c>
      <c r="E30" s="36">
        <f>'Task List'!H29</f>
        <v/>
      </c>
      <c r="F30" s="36">
        <f>'Task List'!I29</f>
        <v/>
      </c>
      <c r="G30" s="38">
        <f>IF(AND(G$4&gt;=$E30,G$4&lt;=$F30),1,0)</f>
        <v/>
      </c>
      <c r="H30" s="38">
        <f>IF(AND(H$4&gt;=$E30,H$4&lt;=$F30),1,0)</f>
        <v/>
      </c>
      <c r="I30" s="38">
        <f>IF(AND(I$4&gt;=$E30,I$4&lt;=$F30),1,0)</f>
        <v/>
      </c>
      <c r="J30" s="38">
        <f>IF(AND(J$4&gt;=$E30,J$4&lt;=$F30),1,0)</f>
        <v/>
      </c>
      <c r="K30" s="38">
        <f>IF(AND(K$4&gt;=$E30,K$4&lt;=$F30),1,0)</f>
        <v/>
      </c>
      <c r="L30" s="38">
        <f>IF(AND(L$4&gt;=$E30,L$4&lt;=$F30),1,0)</f>
        <v/>
      </c>
      <c r="M30" s="38">
        <f>IF(AND(M$4&gt;=$E30,M$4&lt;=$F30),1,0)</f>
        <v/>
      </c>
      <c r="N30" s="38">
        <f>IF(AND(N$4&gt;=$E30,N$4&lt;=$F30),1,0)</f>
        <v/>
      </c>
      <c r="O30" s="38">
        <f>IF(AND(O$4&gt;=$E30,O$4&lt;=$F30),1,0)</f>
        <v/>
      </c>
      <c r="P30" s="38">
        <f>IF(AND(P$4&gt;=$E30,P$4&lt;=$F30),1,0)</f>
        <v/>
      </c>
      <c r="Q30" s="38">
        <f>IF(AND(Q$4&gt;=$E30,Q$4&lt;=$F30),1,0)</f>
        <v/>
      </c>
      <c r="R30" s="38">
        <f>IF(AND(R$4&gt;=$E30,R$4&lt;=$F30),1,0)</f>
        <v/>
      </c>
      <c r="S30" s="38">
        <f>IF(AND(S$4&gt;=$E30,S$4&lt;=$F30),1,0)</f>
        <v/>
      </c>
    </row>
    <row r="31">
      <c r="A31" s="36">
        <f>'Task List'!A30</f>
        <v/>
      </c>
      <c r="B31" s="41">
        <f>'Task List'!B30</f>
        <v/>
      </c>
      <c r="C31" s="6">
        <f>'Task List'!D30</f>
        <v/>
      </c>
      <c r="D31" s="36">
        <f>'Task List'!F30</f>
        <v/>
      </c>
      <c r="E31" s="36">
        <f>'Task List'!H30</f>
        <v/>
      </c>
      <c r="F31" s="36">
        <f>'Task List'!I30</f>
        <v/>
      </c>
      <c r="G31" s="38">
        <f>IF(AND(G$4&gt;=$E31,G$4&lt;=$F31),1,0)</f>
        <v/>
      </c>
      <c r="H31" s="38">
        <f>IF(AND(H$4&gt;=$E31,H$4&lt;=$F31),1,0)</f>
        <v/>
      </c>
      <c r="I31" s="38">
        <f>IF(AND(I$4&gt;=$E31,I$4&lt;=$F31),1,0)</f>
        <v/>
      </c>
      <c r="J31" s="38">
        <f>IF(AND(J$4&gt;=$E31,J$4&lt;=$F31),1,0)</f>
        <v/>
      </c>
      <c r="K31" s="38">
        <f>IF(AND(K$4&gt;=$E31,K$4&lt;=$F31),1,0)</f>
        <v/>
      </c>
      <c r="L31" s="38">
        <f>IF(AND(L$4&gt;=$E31,L$4&lt;=$F31),1,0)</f>
        <v/>
      </c>
      <c r="M31" s="38">
        <f>IF(AND(M$4&gt;=$E31,M$4&lt;=$F31),1,0)</f>
        <v/>
      </c>
      <c r="N31" s="38">
        <f>IF(AND(N$4&gt;=$E31,N$4&lt;=$F31),1,0)</f>
        <v/>
      </c>
      <c r="O31" s="38">
        <f>IF(AND(O$4&gt;=$E31,O$4&lt;=$F31),1,0)</f>
        <v/>
      </c>
      <c r="P31" s="38">
        <f>IF(AND(P$4&gt;=$E31,P$4&lt;=$F31),1,0)</f>
        <v/>
      </c>
      <c r="Q31" s="38">
        <f>IF(AND(Q$4&gt;=$E31,Q$4&lt;=$F31),1,0)</f>
        <v/>
      </c>
      <c r="R31" s="38">
        <f>IF(AND(R$4&gt;=$E31,R$4&lt;=$F31),1,0)</f>
        <v/>
      </c>
      <c r="S31" s="38">
        <f>IF(AND(S$4&gt;=$E31,S$4&lt;=$F31),1,0)</f>
        <v/>
      </c>
    </row>
    <row r="32">
      <c r="A32" s="36">
        <f>'Task List'!A31</f>
        <v/>
      </c>
      <c r="B32" s="41">
        <f>'Task List'!B31</f>
        <v/>
      </c>
      <c r="C32" s="6">
        <f>'Task List'!D31</f>
        <v/>
      </c>
      <c r="D32" s="36">
        <f>'Task List'!F31</f>
        <v/>
      </c>
      <c r="E32" s="36">
        <f>'Task List'!H31</f>
        <v/>
      </c>
      <c r="F32" s="36">
        <f>'Task List'!I31</f>
        <v/>
      </c>
      <c r="G32" s="38">
        <f>IF(AND(G$4&gt;=$E32,G$4&lt;=$F32),1,0)</f>
        <v/>
      </c>
      <c r="H32" s="38">
        <f>IF(AND(H$4&gt;=$E32,H$4&lt;=$F32),1,0)</f>
        <v/>
      </c>
      <c r="I32" s="38">
        <f>IF(AND(I$4&gt;=$E32,I$4&lt;=$F32),1,0)</f>
        <v/>
      </c>
      <c r="J32" s="38">
        <f>IF(AND(J$4&gt;=$E32,J$4&lt;=$F32),1,0)</f>
        <v/>
      </c>
      <c r="K32" s="38">
        <f>IF(AND(K$4&gt;=$E32,K$4&lt;=$F32),1,0)</f>
        <v/>
      </c>
      <c r="L32" s="38">
        <f>IF(AND(L$4&gt;=$E32,L$4&lt;=$F32),1,0)</f>
        <v/>
      </c>
      <c r="M32" s="38">
        <f>IF(AND(M$4&gt;=$E32,M$4&lt;=$F32),1,0)</f>
        <v/>
      </c>
      <c r="N32" s="38">
        <f>IF(AND(N$4&gt;=$E32,N$4&lt;=$F32),1,0)</f>
        <v/>
      </c>
      <c r="O32" s="38">
        <f>IF(AND(O$4&gt;=$E32,O$4&lt;=$F32),1,0)</f>
        <v/>
      </c>
      <c r="P32" s="38">
        <f>IF(AND(P$4&gt;=$E32,P$4&lt;=$F32),1,0)</f>
        <v/>
      </c>
      <c r="Q32" s="38">
        <f>IF(AND(Q$4&gt;=$E32,Q$4&lt;=$F32),1,0)</f>
        <v/>
      </c>
      <c r="R32" s="38">
        <f>IF(AND(R$4&gt;=$E32,R$4&lt;=$F32),1,0)</f>
        <v/>
      </c>
      <c r="S32" s="38">
        <f>IF(AND(S$4&gt;=$E32,S$4&lt;=$F32),1,0)</f>
        <v/>
      </c>
    </row>
    <row r="33">
      <c r="A33" s="36">
        <f>'Task List'!A32</f>
        <v/>
      </c>
      <c r="B33" s="41">
        <f>'Task List'!B32</f>
        <v/>
      </c>
      <c r="C33" s="6">
        <f>'Task List'!D32</f>
        <v/>
      </c>
      <c r="D33" s="36">
        <f>'Task List'!F32</f>
        <v/>
      </c>
      <c r="E33" s="36">
        <f>'Task List'!H32</f>
        <v/>
      </c>
      <c r="F33" s="36">
        <f>'Task List'!I32</f>
        <v/>
      </c>
      <c r="G33" s="38">
        <f>IF(AND(G$4&gt;=$E33,G$4&lt;=$F33),1,0)</f>
        <v/>
      </c>
      <c r="H33" s="38">
        <f>IF(AND(H$4&gt;=$E33,H$4&lt;=$F33),1,0)</f>
        <v/>
      </c>
      <c r="I33" s="38">
        <f>IF(AND(I$4&gt;=$E33,I$4&lt;=$F33),1,0)</f>
        <v/>
      </c>
      <c r="J33" s="38">
        <f>IF(AND(J$4&gt;=$E33,J$4&lt;=$F33),1,0)</f>
        <v/>
      </c>
      <c r="K33" s="38">
        <f>IF(AND(K$4&gt;=$E33,K$4&lt;=$F33),1,0)</f>
        <v/>
      </c>
      <c r="L33" s="38">
        <f>IF(AND(L$4&gt;=$E33,L$4&lt;=$F33),1,0)</f>
        <v/>
      </c>
      <c r="M33" s="38">
        <f>IF(AND(M$4&gt;=$E33,M$4&lt;=$F33),1,0)</f>
        <v/>
      </c>
      <c r="N33" s="38">
        <f>IF(AND(N$4&gt;=$E33,N$4&lt;=$F33),1,0)</f>
        <v/>
      </c>
      <c r="O33" s="38">
        <f>IF(AND(O$4&gt;=$E33,O$4&lt;=$F33),1,0)</f>
        <v/>
      </c>
      <c r="P33" s="38">
        <f>IF(AND(P$4&gt;=$E33,P$4&lt;=$F33),1,0)</f>
        <v/>
      </c>
      <c r="Q33" s="38">
        <f>IF(AND(Q$4&gt;=$E33,Q$4&lt;=$F33),1,0)</f>
        <v/>
      </c>
      <c r="R33" s="38">
        <f>IF(AND(R$4&gt;=$E33,R$4&lt;=$F33),1,0)</f>
        <v/>
      </c>
      <c r="S33" s="38">
        <f>IF(AND(S$4&gt;=$E33,S$4&lt;=$F33),1,0)</f>
        <v/>
      </c>
    </row>
    <row r="34">
      <c r="A34" s="36">
        <f>'Task List'!A33</f>
        <v/>
      </c>
      <c r="B34" s="41">
        <f>'Task List'!B33</f>
        <v/>
      </c>
      <c r="C34" s="6">
        <f>'Task List'!D33</f>
        <v/>
      </c>
      <c r="D34" s="36">
        <f>'Task List'!F33</f>
        <v/>
      </c>
      <c r="E34" s="36">
        <f>'Task List'!H33</f>
        <v/>
      </c>
      <c r="F34" s="36">
        <f>'Task List'!I33</f>
        <v/>
      </c>
      <c r="G34" s="38">
        <f>IF(AND(G$4&gt;=$E34,G$4&lt;=$F34),1,0)</f>
        <v/>
      </c>
      <c r="H34" s="38">
        <f>IF(AND(H$4&gt;=$E34,H$4&lt;=$F34),1,0)</f>
        <v/>
      </c>
      <c r="I34" s="38">
        <f>IF(AND(I$4&gt;=$E34,I$4&lt;=$F34),1,0)</f>
        <v/>
      </c>
      <c r="J34" s="38">
        <f>IF(AND(J$4&gt;=$E34,J$4&lt;=$F34),1,0)</f>
        <v/>
      </c>
      <c r="K34" s="38">
        <f>IF(AND(K$4&gt;=$E34,K$4&lt;=$F34),1,0)</f>
        <v/>
      </c>
      <c r="L34" s="38">
        <f>IF(AND(L$4&gt;=$E34,L$4&lt;=$F34),1,0)</f>
        <v/>
      </c>
      <c r="M34" s="38">
        <f>IF(AND(M$4&gt;=$E34,M$4&lt;=$F34),1,0)</f>
        <v/>
      </c>
      <c r="N34" s="38">
        <f>IF(AND(N$4&gt;=$E34,N$4&lt;=$F34),1,0)</f>
        <v/>
      </c>
      <c r="O34" s="38">
        <f>IF(AND(O$4&gt;=$E34,O$4&lt;=$F34),1,0)</f>
        <v/>
      </c>
      <c r="P34" s="38">
        <f>IF(AND(P$4&gt;=$E34,P$4&lt;=$F34),1,0)</f>
        <v/>
      </c>
      <c r="Q34" s="38">
        <f>IF(AND(Q$4&gt;=$E34,Q$4&lt;=$F34),1,0)</f>
        <v/>
      </c>
      <c r="R34" s="38">
        <f>IF(AND(R$4&gt;=$E34,R$4&lt;=$F34),1,0)</f>
        <v/>
      </c>
      <c r="S34" s="38">
        <f>IF(AND(S$4&gt;=$E34,S$4&lt;=$F34),1,0)</f>
        <v/>
      </c>
    </row>
    <row r="35">
      <c r="A35" s="36">
        <f>'Task List'!A34</f>
        <v/>
      </c>
      <c r="B35" s="42">
        <f>'Task List'!B34</f>
        <v/>
      </c>
      <c r="C35" s="6">
        <f>'Task List'!D34</f>
        <v/>
      </c>
      <c r="D35" s="36">
        <f>'Task List'!F34</f>
        <v/>
      </c>
      <c r="E35" s="36">
        <f>'Task List'!H34</f>
        <v/>
      </c>
      <c r="F35" s="36">
        <f>'Task List'!I34</f>
        <v/>
      </c>
      <c r="G35" s="38">
        <f>IF(AND(G$4&gt;=$E35,G$4&lt;=$F35),1,0)</f>
        <v/>
      </c>
      <c r="H35" s="38">
        <f>IF(AND(H$4&gt;=$E35,H$4&lt;=$F35),1,0)</f>
        <v/>
      </c>
      <c r="I35" s="38">
        <f>IF(AND(I$4&gt;=$E35,I$4&lt;=$F35),1,0)</f>
        <v/>
      </c>
      <c r="J35" s="38">
        <f>IF(AND(J$4&gt;=$E35,J$4&lt;=$F35),1,0)</f>
        <v/>
      </c>
      <c r="K35" s="38">
        <f>IF(AND(K$4&gt;=$E35,K$4&lt;=$F35),1,0)</f>
        <v/>
      </c>
      <c r="L35" s="38">
        <f>IF(AND(L$4&gt;=$E35,L$4&lt;=$F35),1,0)</f>
        <v/>
      </c>
      <c r="M35" s="38">
        <f>IF(AND(M$4&gt;=$E35,M$4&lt;=$F35),1,0)</f>
        <v/>
      </c>
      <c r="N35" s="38">
        <f>IF(AND(N$4&gt;=$E35,N$4&lt;=$F35),1,0)</f>
        <v/>
      </c>
      <c r="O35" s="38">
        <f>IF(AND(O$4&gt;=$E35,O$4&lt;=$F35),1,0)</f>
        <v/>
      </c>
      <c r="P35" s="38">
        <f>IF(AND(P$4&gt;=$E35,P$4&lt;=$F35),1,0)</f>
        <v/>
      </c>
      <c r="Q35" s="38">
        <f>IF(AND(Q$4&gt;=$E35,Q$4&lt;=$F35),1,0)</f>
        <v/>
      </c>
      <c r="R35" s="38">
        <f>IF(AND(R$4&gt;=$E35,R$4&lt;=$F35),1,0)</f>
        <v/>
      </c>
      <c r="S35" s="38">
        <f>IF(AND(S$4&gt;=$E35,S$4&lt;=$F35),1,0)</f>
        <v/>
      </c>
    </row>
    <row r="36">
      <c r="A36" s="36">
        <f>'Task List'!A35</f>
        <v/>
      </c>
      <c r="B36" s="42">
        <f>'Task List'!B35</f>
        <v/>
      </c>
      <c r="C36" s="6">
        <f>'Task List'!D35</f>
        <v/>
      </c>
      <c r="D36" s="36">
        <f>'Task List'!F35</f>
        <v/>
      </c>
      <c r="E36" s="36">
        <f>'Task List'!H35</f>
        <v/>
      </c>
      <c r="F36" s="36">
        <f>'Task List'!I35</f>
        <v/>
      </c>
      <c r="G36" s="38">
        <f>IF(AND(G$4&gt;=$E36,G$4&lt;=$F36),1,0)</f>
        <v/>
      </c>
      <c r="H36" s="38">
        <f>IF(AND(H$4&gt;=$E36,H$4&lt;=$F36),1,0)</f>
        <v/>
      </c>
      <c r="I36" s="38">
        <f>IF(AND(I$4&gt;=$E36,I$4&lt;=$F36),1,0)</f>
        <v/>
      </c>
      <c r="J36" s="38">
        <f>IF(AND(J$4&gt;=$E36,J$4&lt;=$F36),1,0)</f>
        <v/>
      </c>
      <c r="K36" s="38">
        <f>IF(AND(K$4&gt;=$E36,K$4&lt;=$F36),1,0)</f>
        <v/>
      </c>
      <c r="L36" s="38">
        <f>IF(AND(L$4&gt;=$E36,L$4&lt;=$F36),1,0)</f>
        <v/>
      </c>
      <c r="M36" s="38">
        <f>IF(AND(M$4&gt;=$E36,M$4&lt;=$F36),1,0)</f>
        <v/>
      </c>
      <c r="N36" s="38">
        <f>IF(AND(N$4&gt;=$E36,N$4&lt;=$F36),1,0)</f>
        <v/>
      </c>
      <c r="O36" s="38">
        <f>IF(AND(O$4&gt;=$E36,O$4&lt;=$F36),1,0)</f>
        <v/>
      </c>
      <c r="P36" s="38">
        <f>IF(AND(P$4&gt;=$E36,P$4&lt;=$F36),1,0)</f>
        <v/>
      </c>
      <c r="Q36" s="38">
        <f>IF(AND(Q$4&gt;=$E36,Q$4&lt;=$F36),1,0)</f>
        <v/>
      </c>
      <c r="R36" s="38">
        <f>IF(AND(R$4&gt;=$E36,R$4&lt;=$F36),1,0)</f>
        <v/>
      </c>
      <c r="S36" s="38">
        <f>IF(AND(S$4&gt;=$E36,S$4&lt;=$F36),1,0)</f>
        <v/>
      </c>
    </row>
    <row r="37">
      <c r="A37" s="36">
        <f>'Task List'!A36</f>
        <v/>
      </c>
      <c r="B37" s="42">
        <f>'Task List'!B36</f>
        <v/>
      </c>
      <c r="C37" s="6">
        <f>'Task List'!D36</f>
        <v/>
      </c>
      <c r="D37" s="36">
        <f>'Task List'!F36</f>
        <v/>
      </c>
      <c r="E37" s="36">
        <f>'Task List'!H36</f>
        <v/>
      </c>
      <c r="F37" s="36">
        <f>'Task List'!I36</f>
        <v/>
      </c>
      <c r="G37" s="38">
        <f>IF(AND(G$4&gt;=$E37,G$4&lt;=$F37),1,0)</f>
        <v/>
      </c>
      <c r="H37" s="38">
        <f>IF(AND(H$4&gt;=$E37,H$4&lt;=$F37),1,0)</f>
        <v/>
      </c>
      <c r="I37" s="38">
        <f>IF(AND(I$4&gt;=$E37,I$4&lt;=$F37),1,0)</f>
        <v/>
      </c>
      <c r="J37" s="38">
        <f>IF(AND(J$4&gt;=$E37,J$4&lt;=$F37),1,0)</f>
        <v/>
      </c>
      <c r="K37" s="38">
        <f>IF(AND(K$4&gt;=$E37,K$4&lt;=$F37),1,0)</f>
        <v/>
      </c>
      <c r="L37" s="38">
        <f>IF(AND(L$4&gt;=$E37,L$4&lt;=$F37),1,0)</f>
        <v/>
      </c>
      <c r="M37" s="38">
        <f>IF(AND(M$4&gt;=$E37,M$4&lt;=$F37),1,0)</f>
        <v/>
      </c>
      <c r="N37" s="38">
        <f>IF(AND(N$4&gt;=$E37,N$4&lt;=$F37),1,0)</f>
        <v/>
      </c>
      <c r="O37" s="38">
        <f>IF(AND(O$4&gt;=$E37,O$4&lt;=$F37),1,0)</f>
        <v/>
      </c>
      <c r="P37" s="38">
        <f>IF(AND(P$4&gt;=$E37,P$4&lt;=$F37),1,0)</f>
        <v/>
      </c>
      <c r="Q37" s="38">
        <f>IF(AND(Q$4&gt;=$E37,Q$4&lt;=$F37),1,0)</f>
        <v/>
      </c>
      <c r="R37" s="38">
        <f>IF(AND(R$4&gt;=$E37,R$4&lt;=$F37),1,0)</f>
        <v/>
      </c>
      <c r="S37" s="38">
        <f>IF(AND(S$4&gt;=$E37,S$4&lt;=$F37),1,0)</f>
        <v/>
      </c>
    </row>
    <row r="38">
      <c r="A38" s="36">
        <f>'Task List'!A37</f>
        <v/>
      </c>
      <c r="B38" s="42">
        <f>'Task List'!B37</f>
        <v/>
      </c>
      <c r="C38" s="6">
        <f>'Task List'!D37</f>
        <v/>
      </c>
      <c r="D38" s="36">
        <f>'Task List'!F37</f>
        <v/>
      </c>
      <c r="E38" s="36">
        <f>'Task List'!H37</f>
        <v/>
      </c>
      <c r="F38" s="36">
        <f>'Task List'!I37</f>
        <v/>
      </c>
      <c r="G38" s="38">
        <f>IF(AND(G$4&gt;=$E38,G$4&lt;=$F38),1,0)</f>
        <v/>
      </c>
      <c r="H38" s="38">
        <f>IF(AND(H$4&gt;=$E38,H$4&lt;=$F38),1,0)</f>
        <v/>
      </c>
      <c r="I38" s="38">
        <f>IF(AND(I$4&gt;=$E38,I$4&lt;=$F38),1,0)</f>
        <v/>
      </c>
      <c r="J38" s="38">
        <f>IF(AND(J$4&gt;=$E38,J$4&lt;=$F38),1,0)</f>
        <v/>
      </c>
      <c r="K38" s="38">
        <f>IF(AND(K$4&gt;=$E38,K$4&lt;=$F38),1,0)</f>
        <v/>
      </c>
      <c r="L38" s="38">
        <f>IF(AND(L$4&gt;=$E38,L$4&lt;=$F38),1,0)</f>
        <v/>
      </c>
      <c r="M38" s="38">
        <f>IF(AND(M$4&gt;=$E38,M$4&lt;=$F38),1,0)</f>
        <v/>
      </c>
      <c r="N38" s="38">
        <f>IF(AND(N$4&gt;=$E38,N$4&lt;=$F38),1,0)</f>
        <v/>
      </c>
      <c r="O38" s="38">
        <f>IF(AND(O$4&gt;=$E38,O$4&lt;=$F38),1,0)</f>
        <v/>
      </c>
      <c r="P38" s="38">
        <f>IF(AND(P$4&gt;=$E38,P$4&lt;=$F38),1,0)</f>
        <v/>
      </c>
      <c r="Q38" s="38">
        <f>IF(AND(Q$4&gt;=$E38,Q$4&lt;=$F38),1,0)</f>
        <v/>
      </c>
      <c r="R38" s="38">
        <f>IF(AND(R$4&gt;=$E38,R$4&lt;=$F38),1,0)</f>
        <v/>
      </c>
      <c r="S38" s="38">
        <f>IF(AND(S$4&gt;=$E38,S$4&lt;=$F38),1,0)</f>
        <v/>
      </c>
    </row>
    <row r="39">
      <c r="A39" s="36">
        <f>'Task List'!A38</f>
        <v/>
      </c>
      <c r="B39" s="42">
        <f>'Task List'!B38</f>
        <v/>
      </c>
      <c r="C39" s="6">
        <f>'Task List'!D38</f>
        <v/>
      </c>
      <c r="D39" s="36">
        <f>'Task List'!F38</f>
        <v/>
      </c>
      <c r="E39" s="36">
        <f>'Task List'!H38</f>
        <v/>
      </c>
      <c r="F39" s="36">
        <f>'Task List'!I38</f>
        <v/>
      </c>
      <c r="G39" s="38">
        <f>IF(AND(G$4&gt;=$E39,G$4&lt;=$F39),1,0)</f>
        <v/>
      </c>
      <c r="H39" s="38">
        <f>IF(AND(H$4&gt;=$E39,H$4&lt;=$F39),1,0)</f>
        <v/>
      </c>
      <c r="I39" s="38">
        <f>IF(AND(I$4&gt;=$E39,I$4&lt;=$F39),1,0)</f>
        <v/>
      </c>
      <c r="J39" s="38">
        <f>IF(AND(J$4&gt;=$E39,J$4&lt;=$F39),1,0)</f>
        <v/>
      </c>
      <c r="K39" s="38">
        <f>IF(AND(K$4&gt;=$E39,K$4&lt;=$F39),1,0)</f>
        <v/>
      </c>
      <c r="L39" s="38">
        <f>IF(AND(L$4&gt;=$E39,L$4&lt;=$F39),1,0)</f>
        <v/>
      </c>
      <c r="M39" s="38">
        <f>IF(AND(M$4&gt;=$E39,M$4&lt;=$F39),1,0)</f>
        <v/>
      </c>
      <c r="N39" s="38">
        <f>IF(AND(N$4&gt;=$E39,N$4&lt;=$F39),1,0)</f>
        <v/>
      </c>
      <c r="O39" s="38">
        <f>IF(AND(O$4&gt;=$E39,O$4&lt;=$F39),1,0)</f>
        <v/>
      </c>
      <c r="P39" s="38">
        <f>IF(AND(P$4&gt;=$E39,P$4&lt;=$F39),1,0)</f>
        <v/>
      </c>
      <c r="Q39" s="38">
        <f>IF(AND(Q$4&gt;=$E39,Q$4&lt;=$F39),1,0)</f>
        <v/>
      </c>
      <c r="R39" s="38">
        <f>IF(AND(R$4&gt;=$E39,R$4&lt;=$F39),1,0)</f>
        <v/>
      </c>
      <c r="S39" s="38">
        <f>IF(AND(S$4&gt;=$E39,S$4&lt;=$F39),1,0)</f>
        <v/>
      </c>
    </row>
    <row r="40">
      <c r="A40" s="36">
        <f>'Task List'!A39</f>
        <v/>
      </c>
      <c r="B40" s="42">
        <f>'Task List'!B39</f>
        <v/>
      </c>
      <c r="C40" s="6">
        <f>'Task List'!D39</f>
        <v/>
      </c>
      <c r="D40" s="36">
        <f>'Task List'!F39</f>
        <v/>
      </c>
      <c r="E40" s="36">
        <f>'Task List'!H39</f>
        <v/>
      </c>
      <c r="F40" s="36">
        <f>'Task List'!I39</f>
        <v/>
      </c>
      <c r="G40" s="38">
        <f>IF(AND(G$4&gt;=$E40,G$4&lt;=$F40),1,0)</f>
        <v/>
      </c>
      <c r="H40" s="38">
        <f>IF(AND(H$4&gt;=$E40,H$4&lt;=$F40),1,0)</f>
        <v/>
      </c>
      <c r="I40" s="38">
        <f>IF(AND(I$4&gt;=$E40,I$4&lt;=$F40),1,0)</f>
        <v/>
      </c>
      <c r="J40" s="38">
        <f>IF(AND(J$4&gt;=$E40,J$4&lt;=$F40),1,0)</f>
        <v/>
      </c>
      <c r="K40" s="38">
        <f>IF(AND(K$4&gt;=$E40,K$4&lt;=$F40),1,0)</f>
        <v/>
      </c>
      <c r="L40" s="38">
        <f>IF(AND(L$4&gt;=$E40,L$4&lt;=$F40),1,0)</f>
        <v/>
      </c>
      <c r="M40" s="38">
        <f>IF(AND(M$4&gt;=$E40,M$4&lt;=$F40),1,0)</f>
        <v/>
      </c>
      <c r="N40" s="38">
        <f>IF(AND(N$4&gt;=$E40,N$4&lt;=$F40),1,0)</f>
        <v/>
      </c>
      <c r="O40" s="38">
        <f>IF(AND(O$4&gt;=$E40,O$4&lt;=$F40),1,0)</f>
        <v/>
      </c>
      <c r="P40" s="38">
        <f>IF(AND(P$4&gt;=$E40,P$4&lt;=$F40),1,0)</f>
        <v/>
      </c>
      <c r="Q40" s="38">
        <f>IF(AND(Q$4&gt;=$E40,Q$4&lt;=$F40),1,0)</f>
        <v/>
      </c>
      <c r="R40" s="38">
        <f>IF(AND(R$4&gt;=$E40,R$4&lt;=$F40),1,0)</f>
        <v/>
      </c>
      <c r="S40" s="38">
        <f>IF(AND(S$4&gt;=$E40,S$4&lt;=$F40),1,0)</f>
        <v/>
      </c>
    </row>
    <row r="41">
      <c r="A41" s="36">
        <f>'Task List'!A40</f>
        <v/>
      </c>
      <c r="B41" s="42">
        <f>'Task List'!B40</f>
        <v/>
      </c>
      <c r="C41" s="6">
        <f>'Task List'!D40</f>
        <v/>
      </c>
      <c r="D41" s="36">
        <f>'Task List'!F40</f>
        <v/>
      </c>
      <c r="E41" s="36">
        <f>'Task List'!H40</f>
        <v/>
      </c>
      <c r="F41" s="36">
        <f>'Task List'!I40</f>
        <v/>
      </c>
      <c r="G41" s="38">
        <f>IF(AND(G$4&gt;=$E41,G$4&lt;=$F41),1,0)</f>
        <v/>
      </c>
      <c r="H41" s="38">
        <f>IF(AND(H$4&gt;=$E41,H$4&lt;=$F41),1,0)</f>
        <v/>
      </c>
      <c r="I41" s="38">
        <f>IF(AND(I$4&gt;=$E41,I$4&lt;=$F41),1,0)</f>
        <v/>
      </c>
      <c r="J41" s="38">
        <f>IF(AND(J$4&gt;=$E41,J$4&lt;=$F41),1,0)</f>
        <v/>
      </c>
      <c r="K41" s="38">
        <f>IF(AND(K$4&gt;=$E41,K$4&lt;=$F41),1,0)</f>
        <v/>
      </c>
      <c r="L41" s="38">
        <f>IF(AND(L$4&gt;=$E41,L$4&lt;=$F41),1,0)</f>
        <v/>
      </c>
      <c r="M41" s="38">
        <f>IF(AND(M$4&gt;=$E41,M$4&lt;=$F41),1,0)</f>
        <v/>
      </c>
      <c r="N41" s="38">
        <f>IF(AND(N$4&gt;=$E41,N$4&lt;=$F41),1,0)</f>
        <v/>
      </c>
      <c r="O41" s="38">
        <f>IF(AND(O$4&gt;=$E41,O$4&lt;=$F41),1,0)</f>
        <v/>
      </c>
      <c r="P41" s="38">
        <f>IF(AND(P$4&gt;=$E41,P$4&lt;=$F41),1,0)</f>
        <v/>
      </c>
      <c r="Q41" s="38">
        <f>IF(AND(Q$4&gt;=$E41,Q$4&lt;=$F41),1,0)</f>
        <v/>
      </c>
      <c r="R41" s="38">
        <f>IF(AND(R$4&gt;=$E41,R$4&lt;=$F41),1,0)</f>
        <v/>
      </c>
      <c r="S41" s="38">
        <f>IF(AND(S$4&gt;=$E41,S$4&lt;=$F41),1,0)</f>
        <v/>
      </c>
    </row>
    <row r="42">
      <c r="A42" s="36">
        <f>'Task List'!A41</f>
        <v/>
      </c>
      <c r="B42" s="42">
        <f>'Task List'!B41</f>
        <v/>
      </c>
      <c r="C42" s="6">
        <f>'Task List'!D41</f>
        <v/>
      </c>
      <c r="D42" s="36">
        <f>'Task List'!F41</f>
        <v/>
      </c>
      <c r="E42" s="36">
        <f>'Task List'!H41</f>
        <v/>
      </c>
      <c r="F42" s="36">
        <f>'Task List'!I41</f>
        <v/>
      </c>
      <c r="G42" s="38">
        <f>IF(AND(G$4&gt;=$E42,G$4&lt;=$F42),1,0)</f>
        <v/>
      </c>
      <c r="H42" s="38">
        <f>IF(AND(H$4&gt;=$E42,H$4&lt;=$F42),1,0)</f>
        <v/>
      </c>
      <c r="I42" s="38">
        <f>IF(AND(I$4&gt;=$E42,I$4&lt;=$F42),1,0)</f>
        <v/>
      </c>
      <c r="J42" s="38">
        <f>IF(AND(J$4&gt;=$E42,J$4&lt;=$F42),1,0)</f>
        <v/>
      </c>
      <c r="K42" s="38">
        <f>IF(AND(K$4&gt;=$E42,K$4&lt;=$F42),1,0)</f>
        <v/>
      </c>
      <c r="L42" s="38">
        <f>IF(AND(L$4&gt;=$E42,L$4&lt;=$F42),1,0)</f>
        <v/>
      </c>
      <c r="M42" s="38">
        <f>IF(AND(M$4&gt;=$E42,M$4&lt;=$F42),1,0)</f>
        <v/>
      </c>
      <c r="N42" s="38">
        <f>IF(AND(N$4&gt;=$E42,N$4&lt;=$F42),1,0)</f>
        <v/>
      </c>
      <c r="O42" s="38">
        <f>IF(AND(O$4&gt;=$E42,O$4&lt;=$F42),1,0)</f>
        <v/>
      </c>
      <c r="P42" s="38">
        <f>IF(AND(P$4&gt;=$E42,P$4&lt;=$F42),1,0)</f>
        <v/>
      </c>
      <c r="Q42" s="38">
        <f>IF(AND(Q$4&gt;=$E42,Q$4&lt;=$F42),1,0)</f>
        <v/>
      </c>
      <c r="R42" s="38">
        <f>IF(AND(R$4&gt;=$E42,R$4&lt;=$F42),1,0)</f>
        <v/>
      </c>
      <c r="S42" s="38">
        <f>IF(AND(S$4&gt;=$E42,S$4&lt;=$F42),1,0)</f>
        <v/>
      </c>
    </row>
    <row r="43">
      <c r="A43" s="36">
        <f>'Task List'!A42</f>
        <v/>
      </c>
      <c r="B43" s="43">
        <f>'Task List'!B42</f>
        <v/>
      </c>
      <c r="C43" s="6">
        <f>'Task List'!D42</f>
        <v/>
      </c>
      <c r="D43" s="36">
        <f>'Task List'!F42</f>
        <v/>
      </c>
      <c r="E43" s="36">
        <f>'Task List'!H42</f>
        <v/>
      </c>
      <c r="F43" s="36">
        <f>'Task List'!I42</f>
        <v/>
      </c>
      <c r="G43" s="38">
        <f>IF(AND(G$4&gt;=$E43,G$4&lt;=$F43),1,0)</f>
        <v/>
      </c>
      <c r="H43" s="38">
        <f>IF(AND(H$4&gt;=$E43,H$4&lt;=$F43),1,0)</f>
        <v/>
      </c>
      <c r="I43" s="38">
        <f>IF(AND(I$4&gt;=$E43,I$4&lt;=$F43),1,0)</f>
        <v/>
      </c>
      <c r="J43" s="38">
        <f>IF(AND(J$4&gt;=$E43,J$4&lt;=$F43),1,0)</f>
        <v/>
      </c>
      <c r="K43" s="38">
        <f>IF(AND(K$4&gt;=$E43,K$4&lt;=$F43),1,0)</f>
        <v/>
      </c>
      <c r="L43" s="38">
        <f>IF(AND(L$4&gt;=$E43,L$4&lt;=$F43),1,0)</f>
        <v/>
      </c>
      <c r="M43" s="38">
        <f>IF(AND(M$4&gt;=$E43,M$4&lt;=$F43),1,0)</f>
        <v/>
      </c>
      <c r="N43" s="38">
        <f>IF(AND(N$4&gt;=$E43,N$4&lt;=$F43),1,0)</f>
        <v/>
      </c>
      <c r="O43" s="38">
        <f>IF(AND(O$4&gt;=$E43,O$4&lt;=$F43),1,0)</f>
        <v/>
      </c>
      <c r="P43" s="38">
        <f>IF(AND(P$4&gt;=$E43,P$4&lt;=$F43),1,0)</f>
        <v/>
      </c>
      <c r="Q43" s="38">
        <f>IF(AND(Q$4&gt;=$E43,Q$4&lt;=$F43),1,0)</f>
        <v/>
      </c>
      <c r="R43" s="38">
        <f>IF(AND(R$4&gt;=$E43,R$4&lt;=$F43),1,0)</f>
        <v/>
      </c>
      <c r="S43" s="38">
        <f>IF(AND(S$4&gt;=$E43,S$4&lt;=$F43),1,0)</f>
        <v/>
      </c>
    </row>
    <row r="44">
      <c r="A44" s="36">
        <f>'Task List'!A43</f>
        <v/>
      </c>
      <c r="B44" s="43">
        <f>'Task List'!B43</f>
        <v/>
      </c>
      <c r="C44" s="6">
        <f>'Task List'!D43</f>
        <v/>
      </c>
      <c r="D44" s="36">
        <f>'Task List'!F43</f>
        <v/>
      </c>
      <c r="E44" s="36">
        <f>'Task List'!H43</f>
        <v/>
      </c>
      <c r="F44" s="36">
        <f>'Task List'!I43</f>
        <v/>
      </c>
      <c r="G44" s="38">
        <f>IF(AND(G$4&gt;=$E44,G$4&lt;=$F44),1,0)</f>
        <v/>
      </c>
      <c r="H44" s="38">
        <f>IF(AND(H$4&gt;=$E44,H$4&lt;=$F44),1,0)</f>
        <v/>
      </c>
      <c r="I44" s="38">
        <f>IF(AND(I$4&gt;=$E44,I$4&lt;=$F44),1,0)</f>
        <v/>
      </c>
      <c r="J44" s="38">
        <f>IF(AND(J$4&gt;=$E44,J$4&lt;=$F44),1,0)</f>
        <v/>
      </c>
      <c r="K44" s="38">
        <f>IF(AND(K$4&gt;=$E44,K$4&lt;=$F44),1,0)</f>
        <v/>
      </c>
      <c r="L44" s="38">
        <f>IF(AND(L$4&gt;=$E44,L$4&lt;=$F44),1,0)</f>
        <v/>
      </c>
      <c r="M44" s="38">
        <f>IF(AND(M$4&gt;=$E44,M$4&lt;=$F44),1,0)</f>
        <v/>
      </c>
      <c r="N44" s="38">
        <f>IF(AND(N$4&gt;=$E44,N$4&lt;=$F44),1,0)</f>
        <v/>
      </c>
      <c r="O44" s="38">
        <f>IF(AND(O$4&gt;=$E44,O$4&lt;=$F44),1,0)</f>
        <v/>
      </c>
      <c r="P44" s="38">
        <f>IF(AND(P$4&gt;=$E44,P$4&lt;=$F44),1,0)</f>
        <v/>
      </c>
      <c r="Q44" s="38">
        <f>IF(AND(Q$4&gt;=$E44,Q$4&lt;=$F44),1,0)</f>
        <v/>
      </c>
      <c r="R44" s="38">
        <f>IF(AND(R$4&gt;=$E44,R$4&lt;=$F44),1,0)</f>
        <v/>
      </c>
      <c r="S44" s="38">
        <f>IF(AND(S$4&gt;=$E44,S$4&lt;=$F44),1,0)</f>
        <v/>
      </c>
    </row>
    <row r="45">
      <c r="A45" s="36">
        <f>'Task List'!A44</f>
        <v/>
      </c>
      <c r="B45" s="43">
        <f>'Task List'!B44</f>
        <v/>
      </c>
      <c r="C45" s="6">
        <f>'Task List'!D44</f>
        <v/>
      </c>
      <c r="D45" s="36">
        <f>'Task List'!F44</f>
        <v/>
      </c>
      <c r="E45" s="36">
        <f>'Task List'!H44</f>
        <v/>
      </c>
      <c r="F45" s="36">
        <f>'Task List'!I44</f>
        <v/>
      </c>
      <c r="G45" s="38">
        <f>IF(AND(G$4&gt;=$E45,G$4&lt;=$F45),1,0)</f>
        <v/>
      </c>
      <c r="H45" s="38">
        <f>IF(AND(H$4&gt;=$E45,H$4&lt;=$F45),1,0)</f>
        <v/>
      </c>
      <c r="I45" s="38">
        <f>IF(AND(I$4&gt;=$E45,I$4&lt;=$F45),1,0)</f>
        <v/>
      </c>
      <c r="J45" s="38">
        <f>IF(AND(J$4&gt;=$E45,J$4&lt;=$F45),1,0)</f>
        <v/>
      </c>
      <c r="K45" s="38">
        <f>IF(AND(K$4&gt;=$E45,K$4&lt;=$F45),1,0)</f>
        <v/>
      </c>
      <c r="L45" s="38">
        <f>IF(AND(L$4&gt;=$E45,L$4&lt;=$F45),1,0)</f>
        <v/>
      </c>
      <c r="M45" s="38">
        <f>IF(AND(M$4&gt;=$E45,M$4&lt;=$F45),1,0)</f>
        <v/>
      </c>
      <c r="N45" s="38">
        <f>IF(AND(N$4&gt;=$E45,N$4&lt;=$F45),1,0)</f>
        <v/>
      </c>
      <c r="O45" s="38">
        <f>IF(AND(O$4&gt;=$E45,O$4&lt;=$F45),1,0)</f>
        <v/>
      </c>
      <c r="P45" s="38">
        <f>IF(AND(P$4&gt;=$E45,P$4&lt;=$F45),1,0)</f>
        <v/>
      </c>
      <c r="Q45" s="38">
        <f>IF(AND(Q$4&gt;=$E45,Q$4&lt;=$F45),1,0)</f>
        <v/>
      </c>
      <c r="R45" s="38">
        <f>IF(AND(R$4&gt;=$E45,R$4&lt;=$F45),1,0)</f>
        <v/>
      </c>
      <c r="S45" s="38">
        <f>IF(AND(S$4&gt;=$E45,S$4&lt;=$F45),1,0)</f>
        <v/>
      </c>
    </row>
    <row r="46">
      <c r="A46" s="36">
        <f>'Task List'!A45</f>
        <v/>
      </c>
      <c r="B46" s="43">
        <f>'Task List'!B45</f>
        <v/>
      </c>
      <c r="C46" s="6">
        <f>'Task List'!D45</f>
        <v/>
      </c>
      <c r="D46" s="36">
        <f>'Task List'!F45</f>
        <v/>
      </c>
      <c r="E46" s="36">
        <f>'Task List'!H45</f>
        <v/>
      </c>
      <c r="F46" s="36">
        <f>'Task List'!I45</f>
        <v/>
      </c>
      <c r="G46" s="38">
        <f>IF(AND(G$4&gt;=$E46,G$4&lt;=$F46),1,0)</f>
        <v/>
      </c>
      <c r="H46" s="38">
        <f>IF(AND(H$4&gt;=$E46,H$4&lt;=$F46),1,0)</f>
        <v/>
      </c>
      <c r="I46" s="38">
        <f>IF(AND(I$4&gt;=$E46,I$4&lt;=$F46),1,0)</f>
        <v/>
      </c>
      <c r="J46" s="38">
        <f>IF(AND(J$4&gt;=$E46,J$4&lt;=$F46),1,0)</f>
        <v/>
      </c>
      <c r="K46" s="38">
        <f>IF(AND(K$4&gt;=$E46,K$4&lt;=$F46),1,0)</f>
        <v/>
      </c>
      <c r="L46" s="38">
        <f>IF(AND(L$4&gt;=$E46,L$4&lt;=$F46),1,0)</f>
        <v/>
      </c>
      <c r="M46" s="38">
        <f>IF(AND(M$4&gt;=$E46,M$4&lt;=$F46),1,0)</f>
        <v/>
      </c>
      <c r="N46" s="38">
        <f>IF(AND(N$4&gt;=$E46,N$4&lt;=$F46),1,0)</f>
        <v/>
      </c>
      <c r="O46" s="38">
        <f>IF(AND(O$4&gt;=$E46,O$4&lt;=$F46),1,0)</f>
        <v/>
      </c>
      <c r="P46" s="38">
        <f>IF(AND(P$4&gt;=$E46,P$4&lt;=$F46),1,0)</f>
        <v/>
      </c>
      <c r="Q46" s="38">
        <f>IF(AND(Q$4&gt;=$E46,Q$4&lt;=$F46),1,0)</f>
        <v/>
      </c>
      <c r="R46" s="38">
        <f>IF(AND(R$4&gt;=$E46,R$4&lt;=$F46),1,0)</f>
        <v/>
      </c>
      <c r="S46" s="38">
        <f>IF(AND(S$4&gt;=$E46,S$4&lt;=$F46),1,0)</f>
        <v/>
      </c>
    </row>
    <row r="47">
      <c r="A47" s="36">
        <f>'Task List'!A46</f>
        <v/>
      </c>
      <c r="B47" s="43">
        <f>'Task List'!B46</f>
        <v/>
      </c>
      <c r="C47" s="6">
        <f>'Task List'!D46</f>
        <v/>
      </c>
      <c r="D47" s="36">
        <f>'Task List'!F46</f>
        <v/>
      </c>
      <c r="E47" s="36">
        <f>'Task List'!H46</f>
        <v/>
      </c>
      <c r="F47" s="36">
        <f>'Task List'!I46</f>
        <v/>
      </c>
      <c r="G47" s="38">
        <f>IF(AND(G$4&gt;=$E47,G$4&lt;=$F47),1,0)</f>
        <v/>
      </c>
      <c r="H47" s="38">
        <f>IF(AND(H$4&gt;=$E47,H$4&lt;=$F47),1,0)</f>
        <v/>
      </c>
      <c r="I47" s="38">
        <f>IF(AND(I$4&gt;=$E47,I$4&lt;=$F47),1,0)</f>
        <v/>
      </c>
      <c r="J47" s="38">
        <f>IF(AND(J$4&gt;=$E47,J$4&lt;=$F47),1,0)</f>
        <v/>
      </c>
      <c r="K47" s="38">
        <f>IF(AND(K$4&gt;=$E47,K$4&lt;=$F47),1,0)</f>
        <v/>
      </c>
      <c r="L47" s="38">
        <f>IF(AND(L$4&gt;=$E47,L$4&lt;=$F47),1,0)</f>
        <v/>
      </c>
      <c r="M47" s="38">
        <f>IF(AND(M$4&gt;=$E47,M$4&lt;=$F47),1,0)</f>
        <v/>
      </c>
      <c r="N47" s="38">
        <f>IF(AND(N$4&gt;=$E47,N$4&lt;=$F47),1,0)</f>
        <v/>
      </c>
      <c r="O47" s="38">
        <f>IF(AND(O$4&gt;=$E47,O$4&lt;=$F47),1,0)</f>
        <v/>
      </c>
      <c r="P47" s="38">
        <f>IF(AND(P$4&gt;=$E47,P$4&lt;=$F47),1,0)</f>
        <v/>
      </c>
      <c r="Q47" s="38">
        <f>IF(AND(Q$4&gt;=$E47,Q$4&lt;=$F47),1,0)</f>
        <v/>
      </c>
      <c r="R47" s="38">
        <f>IF(AND(R$4&gt;=$E47,R$4&lt;=$F47),1,0)</f>
        <v/>
      </c>
      <c r="S47" s="38">
        <f>IF(AND(S$4&gt;=$E47,S$4&lt;=$F47),1,0)</f>
        <v/>
      </c>
    </row>
    <row r="48">
      <c r="A48" s="36">
        <f>'Task List'!A47</f>
        <v/>
      </c>
      <c r="B48" s="43">
        <f>'Task List'!B47</f>
        <v/>
      </c>
      <c r="C48" s="6">
        <f>'Task List'!D47</f>
        <v/>
      </c>
      <c r="D48" s="36">
        <f>'Task List'!F47</f>
        <v/>
      </c>
      <c r="E48" s="36">
        <f>'Task List'!H47</f>
        <v/>
      </c>
      <c r="F48" s="36">
        <f>'Task List'!I47</f>
        <v/>
      </c>
      <c r="G48" s="38">
        <f>IF(AND(G$4&gt;=$E48,G$4&lt;=$F48),1,0)</f>
        <v/>
      </c>
      <c r="H48" s="38">
        <f>IF(AND(H$4&gt;=$E48,H$4&lt;=$F48),1,0)</f>
        <v/>
      </c>
      <c r="I48" s="38">
        <f>IF(AND(I$4&gt;=$E48,I$4&lt;=$F48),1,0)</f>
        <v/>
      </c>
      <c r="J48" s="38">
        <f>IF(AND(J$4&gt;=$E48,J$4&lt;=$F48),1,0)</f>
        <v/>
      </c>
      <c r="K48" s="38">
        <f>IF(AND(K$4&gt;=$E48,K$4&lt;=$F48),1,0)</f>
        <v/>
      </c>
      <c r="L48" s="38">
        <f>IF(AND(L$4&gt;=$E48,L$4&lt;=$F48),1,0)</f>
        <v/>
      </c>
      <c r="M48" s="38">
        <f>IF(AND(M$4&gt;=$E48,M$4&lt;=$F48),1,0)</f>
        <v/>
      </c>
      <c r="N48" s="38">
        <f>IF(AND(N$4&gt;=$E48,N$4&lt;=$F48),1,0)</f>
        <v/>
      </c>
      <c r="O48" s="38">
        <f>IF(AND(O$4&gt;=$E48,O$4&lt;=$F48),1,0)</f>
        <v/>
      </c>
      <c r="P48" s="38">
        <f>IF(AND(P$4&gt;=$E48,P$4&lt;=$F48),1,0)</f>
        <v/>
      </c>
      <c r="Q48" s="38">
        <f>IF(AND(Q$4&gt;=$E48,Q$4&lt;=$F48),1,0)</f>
        <v/>
      </c>
      <c r="R48" s="38">
        <f>IF(AND(R$4&gt;=$E48,R$4&lt;=$F48),1,0)</f>
        <v/>
      </c>
      <c r="S48" s="38">
        <f>IF(AND(S$4&gt;=$E48,S$4&lt;=$F48),1,0)</f>
        <v/>
      </c>
    </row>
    <row r="49">
      <c r="A49" s="36">
        <f>'Task List'!A48</f>
        <v/>
      </c>
      <c r="B49" s="43">
        <f>'Task List'!B48</f>
        <v/>
      </c>
      <c r="C49" s="6">
        <f>'Task List'!D48</f>
        <v/>
      </c>
      <c r="D49" s="36">
        <f>'Task List'!F48</f>
        <v/>
      </c>
      <c r="E49" s="36">
        <f>'Task List'!H48</f>
        <v/>
      </c>
      <c r="F49" s="36">
        <f>'Task List'!I48</f>
        <v/>
      </c>
      <c r="G49" s="38">
        <f>IF(AND(G$4&gt;=$E49,G$4&lt;=$F49),1,0)</f>
        <v/>
      </c>
      <c r="H49" s="38">
        <f>IF(AND(H$4&gt;=$E49,H$4&lt;=$F49),1,0)</f>
        <v/>
      </c>
      <c r="I49" s="38">
        <f>IF(AND(I$4&gt;=$E49,I$4&lt;=$F49),1,0)</f>
        <v/>
      </c>
      <c r="J49" s="38">
        <f>IF(AND(J$4&gt;=$E49,J$4&lt;=$F49),1,0)</f>
        <v/>
      </c>
      <c r="K49" s="38">
        <f>IF(AND(K$4&gt;=$E49,K$4&lt;=$F49),1,0)</f>
        <v/>
      </c>
      <c r="L49" s="38">
        <f>IF(AND(L$4&gt;=$E49,L$4&lt;=$F49),1,0)</f>
        <v/>
      </c>
      <c r="M49" s="38">
        <f>IF(AND(M$4&gt;=$E49,M$4&lt;=$F49),1,0)</f>
        <v/>
      </c>
      <c r="N49" s="38">
        <f>IF(AND(N$4&gt;=$E49,N$4&lt;=$F49),1,0)</f>
        <v/>
      </c>
      <c r="O49" s="38">
        <f>IF(AND(O$4&gt;=$E49,O$4&lt;=$F49),1,0)</f>
        <v/>
      </c>
      <c r="P49" s="38">
        <f>IF(AND(P$4&gt;=$E49,P$4&lt;=$F49),1,0)</f>
        <v/>
      </c>
      <c r="Q49" s="38">
        <f>IF(AND(Q$4&gt;=$E49,Q$4&lt;=$F49),1,0)</f>
        <v/>
      </c>
      <c r="R49" s="38">
        <f>IF(AND(R$4&gt;=$E49,R$4&lt;=$F49),1,0)</f>
        <v/>
      </c>
      <c r="S49" s="38">
        <f>IF(AND(S$4&gt;=$E49,S$4&lt;=$F49),1,0)</f>
        <v/>
      </c>
    </row>
    <row r="50">
      <c r="A50" s="36">
        <f>'Task List'!A49</f>
        <v/>
      </c>
      <c r="B50" s="43">
        <f>'Task List'!B49</f>
        <v/>
      </c>
      <c r="C50" s="6">
        <f>'Task List'!D49</f>
        <v/>
      </c>
      <c r="D50" s="36">
        <f>'Task List'!F49</f>
        <v/>
      </c>
      <c r="E50" s="36">
        <f>'Task List'!H49</f>
        <v/>
      </c>
      <c r="F50" s="36">
        <f>'Task List'!I49</f>
        <v/>
      </c>
      <c r="G50" s="38">
        <f>IF(AND(G$4&gt;=$E50,G$4&lt;=$F50),1,0)</f>
        <v/>
      </c>
      <c r="H50" s="38">
        <f>IF(AND(H$4&gt;=$E50,H$4&lt;=$F50),1,0)</f>
        <v/>
      </c>
      <c r="I50" s="38">
        <f>IF(AND(I$4&gt;=$E50,I$4&lt;=$F50),1,0)</f>
        <v/>
      </c>
      <c r="J50" s="38">
        <f>IF(AND(J$4&gt;=$E50,J$4&lt;=$F50),1,0)</f>
        <v/>
      </c>
      <c r="K50" s="38">
        <f>IF(AND(K$4&gt;=$E50,K$4&lt;=$F50),1,0)</f>
        <v/>
      </c>
      <c r="L50" s="38">
        <f>IF(AND(L$4&gt;=$E50,L$4&lt;=$F50),1,0)</f>
        <v/>
      </c>
      <c r="M50" s="38">
        <f>IF(AND(M$4&gt;=$E50,M$4&lt;=$F50),1,0)</f>
        <v/>
      </c>
      <c r="N50" s="38">
        <f>IF(AND(N$4&gt;=$E50,N$4&lt;=$F50),1,0)</f>
        <v/>
      </c>
      <c r="O50" s="38">
        <f>IF(AND(O$4&gt;=$E50,O$4&lt;=$F50),1,0)</f>
        <v/>
      </c>
      <c r="P50" s="38">
        <f>IF(AND(P$4&gt;=$E50,P$4&lt;=$F50),1,0)</f>
        <v/>
      </c>
      <c r="Q50" s="38">
        <f>IF(AND(Q$4&gt;=$E50,Q$4&lt;=$F50),1,0)</f>
        <v/>
      </c>
      <c r="R50" s="38">
        <f>IF(AND(R$4&gt;=$E50,R$4&lt;=$F50),1,0)</f>
        <v/>
      </c>
      <c r="S50" s="38">
        <f>IF(AND(S$4&gt;=$E50,S$4&lt;=$F50),1,0)</f>
        <v/>
      </c>
    </row>
    <row r="51">
      <c r="A51" s="36">
        <f>'Task List'!A50</f>
        <v/>
      </c>
      <c r="B51" s="43">
        <f>'Task List'!B50</f>
        <v/>
      </c>
      <c r="C51" s="6">
        <f>'Task List'!D50</f>
        <v/>
      </c>
      <c r="D51" s="36">
        <f>'Task List'!F50</f>
        <v/>
      </c>
      <c r="E51" s="36">
        <f>'Task List'!H50</f>
        <v/>
      </c>
      <c r="F51" s="36">
        <f>'Task List'!I50</f>
        <v/>
      </c>
      <c r="G51" s="38">
        <f>IF(AND(G$4&gt;=$E51,G$4&lt;=$F51),1,0)</f>
        <v/>
      </c>
      <c r="H51" s="38">
        <f>IF(AND(H$4&gt;=$E51,H$4&lt;=$F51),1,0)</f>
        <v/>
      </c>
      <c r="I51" s="38">
        <f>IF(AND(I$4&gt;=$E51,I$4&lt;=$F51),1,0)</f>
        <v/>
      </c>
      <c r="J51" s="38">
        <f>IF(AND(J$4&gt;=$E51,J$4&lt;=$F51),1,0)</f>
        <v/>
      </c>
      <c r="K51" s="38">
        <f>IF(AND(K$4&gt;=$E51,K$4&lt;=$F51),1,0)</f>
        <v/>
      </c>
      <c r="L51" s="38">
        <f>IF(AND(L$4&gt;=$E51,L$4&lt;=$F51),1,0)</f>
        <v/>
      </c>
      <c r="M51" s="38">
        <f>IF(AND(M$4&gt;=$E51,M$4&lt;=$F51),1,0)</f>
        <v/>
      </c>
      <c r="N51" s="38">
        <f>IF(AND(N$4&gt;=$E51,N$4&lt;=$F51),1,0)</f>
        <v/>
      </c>
      <c r="O51" s="38">
        <f>IF(AND(O$4&gt;=$E51,O$4&lt;=$F51),1,0)</f>
        <v/>
      </c>
      <c r="P51" s="38">
        <f>IF(AND(P$4&gt;=$E51,P$4&lt;=$F51),1,0)</f>
        <v/>
      </c>
      <c r="Q51" s="38">
        <f>IF(AND(Q$4&gt;=$E51,Q$4&lt;=$F51),1,0)</f>
        <v/>
      </c>
      <c r="R51" s="38">
        <f>IF(AND(R$4&gt;=$E51,R$4&lt;=$F51),1,0)</f>
        <v/>
      </c>
      <c r="S51" s="38">
        <f>IF(AND(S$4&gt;=$E51,S$4&lt;=$F51),1,0)</f>
        <v/>
      </c>
    </row>
  </sheetData>
  <conditionalFormatting sqref="G6:S51">
    <cfRule type="expression" priority="1" dxfId="5">
      <formula>AND(G6=1,$D6="Core")</formula>
    </cfRule>
    <cfRule type="expression" priority="2" dxfId="6">
      <formula>AND(G6=1,$D6&lt;&gt;"Core")</formula>
    </cfRule>
  </conditionalFormatting>
  <conditionalFormatting sqref="G4:S4">
    <cfRule type="expression" priority="3" dxfId="7">
      <formula>G$4=README!$C$11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38F"/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52" customWidth="1" min="4" max="4"/>
    <col width="24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Hand-offs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What must move between people, in what format, and by when. Delays here block other roles.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11" t="inlineStr">
        <is>
          <t>#</t>
        </is>
      </c>
      <c r="B4" s="11" t="inlineStr">
        <is>
          <t>From</t>
        </is>
      </c>
      <c r="C4" s="11" t="inlineStr">
        <is>
          <t>To</t>
        </is>
      </c>
      <c r="D4" s="11" t="inlineStr">
        <is>
          <t>What</t>
        </is>
      </c>
      <c r="E4" s="11" t="inlineStr">
        <is>
          <t>Format</t>
        </is>
      </c>
      <c r="F4" s="11" t="inlineStr">
        <is>
          <t>Needed by (day)</t>
        </is>
      </c>
      <c r="G4" s="11" t="inlineStr">
        <is>
          <t>Linked tasks</t>
        </is>
      </c>
      <c r="H4" s="11" t="inlineStr">
        <is>
          <t>Received?</t>
        </is>
      </c>
    </row>
    <row r="5">
      <c r="A5" s="9" t="n">
        <v>1</v>
      </c>
      <c r="B5" s="6" t="inlineStr">
        <is>
          <t>Mechanical</t>
        </is>
      </c>
      <c r="C5" s="6" t="inlineStr">
        <is>
          <t>EE-1 Data/GIS</t>
        </is>
      </c>
      <c r="D5" s="6" t="inlineStr">
        <is>
          <t>Delineation parameters (thresholds, outlet point)</t>
        </is>
      </c>
      <c r="E5" s="6" t="inlineStr">
        <is>
          <t>Short doc</t>
        </is>
      </c>
      <c r="F5" s="9" t="n">
        <v>2</v>
      </c>
      <c r="G5" s="9" t="inlineStr">
        <is>
          <t>M2, D3</t>
        </is>
      </c>
      <c r="H5" s="16" t="inlineStr"/>
    </row>
    <row r="6">
      <c r="A6" s="9" t="n">
        <v>2</v>
      </c>
      <c r="B6" s="6" t="inlineStr">
        <is>
          <t>EE-1 Data/GIS</t>
        </is>
      </c>
      <c r="C6" s="6" t="inlineStr">
        <is>
          <t>Mechanical</t>
        </is>
      </c>
      <c r="D6" s="6" t="inlineStr">
        <is>
          <t>Catchment polygon, land cover, elevation models</t>
        </is>
      </c>
      <c r="E6" s="6" t="inlineStr">
        <is>
          <t>GeoTIFF / GeoJSON</t>
        </is>
      </c>
      <c r="F6" s="9" t="n">
        <v>3</v>
      </c>
      <c r="G6" s="9" t="inlineStr">
        <is>
          <t>D3, D6, M1</t>
        </is>
      </c>
      <c r="H6" s="16" t="inlineStr"/>
    </row>
    <row r="7">
      <c r="A7" s="9" t="n">
        <v>3</v>
      </c>
      <c r="B7" s="6" t="inlineStr">
        <is>
          <t>EE-1 Data/GIS</t>
        </is>
      </c>
      <c r="C7" s="6" t="inlineStr">
        <is>
          <t>Architecture</t>
        </is>
      </c>
      <c r="D7" s="6" t="inlineStr">
        <is>
          <t>Terrain, building footprints, roads</t>
        </is>
      </c>
      <c r="E7" s="6" t="inlineStr">
        <is>
          <t>GeoTIFF / OBJ / GeoJSON</t>
        </is>
      </c>
      <c r="F7" s="9" t="n">
        <v>3</v>
      </c>
      <c r="G7" s="9" t="inlineStr">
        <is>
          <t>D6, A1</t>
        </is>
      </c>
      <c r="H7" s="16" t="inlineStr"/>
    </row>
    <row r="8">
      <c r="A8" s="9" t="n">
        <v>4</v>
      </c>
      <c r="B8" s="6" t="inlineStr">
        <is>
          <t>EE-3 Evidence &amp; Pitch</t>
        </is>
      </c>
      <c r="C8" s="6" t="inlineStr">
        <is>
          <t>Mechanical, EE-1</t>
        </is>
      </c>
      <c r="D8" s="6" t="inlineStr">
        <is>
          <t>Documented flood spots with dates and sources</t>
        </is>
      </c>
      <c r="E8" s="6" t="inlineStr">
        <is>
          <t>CSV</t>
        </is>
      </c>
      <c r="F8" s="9" t="n">
        <v>3</v>
      </c>
      <c r="G8" s="9" t="inlineStr">
        <is>
          <t>S3, M7, D4</t>
        </is>
      </c>
      <c r="H8" s="16" t="inlineStr"/>
    </row>
    <row r="9">
      <c r="A9" s="9" t="n">
        <v>5</v>
      </c>
      <c r="B9" s="6" t="inlineStr">
        <is>
          <t>Mechanical</t>
        </is>
      </c>
      <c r="C9" s="6" t="inlineStr">
        <is>
          <t>EE-2 Dashboard</t>
        </is>
      </c>
      <c r="D9" s="6" t="inlineStr">
        <is>
          <t>Formulas, units and test cases for the what-if</t>
        </is>
      </c>
      <c r="E9" s="6" t="inlineStr">
        <is>
          <t>Document and CSV</t>
        </is>
      </c>
      <c r="F9" s="9" t="n">
        <v>5</v>
      </c>
      <c r="G9" s="9" t="inlineStr">
        <is>
          <t>M4, W3</t>
        </is>
      </c>
      <c r="H9" s="16" t="inlineStr"/>
    </row>
    <row r="10">
      <c r="A10" s="9" t="n">
        <v>6</v>
      </c>
      <c r="B10" s="6" t="inlineStr">
        <is>
          <t>Mechanical</t>
        </is>
      </c>
      <c r="C10" s="6" t="inlineStr">
        <is>
          <t>Architecture</t>
        </is>
      </c>
      <c r="D10" s="6" t="inlineStr">
        <is>
          <t>Storage volume for each pond option</t>
        </is>
      </c>
      <c r="E10" s="6" t="inlineStr">
        <is>
          <t>Table</t>
        </is>
      </c>
      <c r="F10" s="9" t="n">
        <v>5</v>
      </c>
      <c r="G10" s="9" t="inlineStr">
        <is>
          <t>M3, A3</t>
        </is>
      </c>
      <c r="H10" s="16" t="inlineStr"/>
    </row>
    <row r="11">
      <c r="A11" s="9" t="n">
        <v>7</v>
      </c>
      <c r="B11" s="6" t="inlineStr">
        <is>
          <t>Architecture</t>
        </is>
      </c>
      <c r="C11" s="6" t="inlineStr">
        <is>
          <t>EE-2 Dashboard</t>
        </is>
      </c>
      <c r="D11" s="6" t="inlineStr">
        <is>
          <t>GLB models, layer list and style sheet</t>
        </is>
      </c>
      <c r="E11" s="6" t="inlineStr">
        <is>
          <t>GLB and one-page PDF</t>
        </is>
      </c>
      <c r="F11" s="9" t="n">
        <v>6</v>
      </c>
      <c r="G11" s="9" t="inlineStr">
        <is>
          <t>A6, A8, W6</t>
        </is>
      </c>
      <c r="H11" s="16" t="inlineStr"/>
    </row>
    <row r="12">
      <c r="A12" s="9" t="n">
        <v>8</v>
      </c>
      <c r="B12" s="6" t="inlineStr">
        <is>
          <t>EE-1 Data/GIS</t>
        </is>
      </c>
      <c r="C12" s="6" t="inlineStr">
        <is>
          <t>EE-2 Dashboard</t>
        </is>
      </c>
      <c r="D12" s="6" t="inlineStr">
        <is>
          <t>Risk-band and robust-hotspot layers</t>
        </is>
      </c>
      <c r="E12" s="6" t="inlineStr">
        <is>
          <t>GeoJSON</t>
        </is>
      </c>
      <c r="F12" s="9" t="n">
        <v>5</v>
      </c>
      <c r="G12" s="9" t="inlineStr">
        <is>
          <t>D4, D5, W2</t>
        </is>
      </c>
      <c r="H12" s="16" t="inlineStr"/>
    </row>
    <row r="13">
      <c r="A13" s="9" t="n">
        <v>9</v>
      </c>
      <c r="B13" s="6" t="inlineStr">
        <is>
          <t>EE-3 Evidence &amp; Pitch</t>
        </is>
      </c>
      <c r="C13" s="6" t="inlineStr">
        <is>
          <t>EE-2 Dashboard</t>
        </is>
      </c>
      <c r="D13" s="6" t="inlineStr">
        <is>
          <t>Responsibility-map template and entries</t>
        </is>
      </c>
      <c r="E13" s="6" t="inlineStr">
        <is>
          <t>CSV</t>
        </is>
      </c>
      <c r="F13" s="9" t="n">
        <v>6</v>
      </c>
      <c r="G13" s="9" t="inlineStr">
        <is>
          <t>S5, W4</t>
        </is>
      </c>
      <c r="H13" s="16" t="inlineStr"/>
    </row>
    <row r="14">
      <c r="A14" s="9" t="n">
        <v>10</v>
      </c>
      <c r="B14" s="6" t="inlineStr">
        <is>
          <t>Mechanical</t>
        </is>
      </c>
      <c r="C14" s="6" t="inlineStr">
        <is>
          <t>EE-3 Evidence &amp; Pitch</t>
        </is>
      </c>
      <c r="D14" s="6" t="inlineStr">
        <is>
          <t>Storage gap, sensitivity chart and ledger for the deck</t>
        </is>
      </c>
      <c r="E14" s="6" t="inlineStr">
        <is>
          <t>Table and chart</t>
        </is>
      </c>
      <c r="F14" s="9" t="n">
        <v>8</v>
      </c>
      <c r="G14" s="9" t="inlineStr">
        <is>
          <t>M5, M6, S8</t>
        </is>
      </c>
      <c r="H14" s="16" t="inlineStr"/>
    </row>
    <row r="15">
      <c r="A15" s="9" t="n">
        <v>11</v>
      </c>
      <c r="B15" s="6" t="inlineStr">
        <is>
          <t>EE-3 Evidence &amp; Pitch</t>
        </is>
      </c>
      <c r="C15" s="6" t="inlineStr">
        <is>
          <t>All</t>
        </is>
      </c>
      <c r="D15" s="6" t="inlineStr">
        <is>
          <t>Survey results and sources list</t>
        </is>
      </c>
      <c r="E15" s="6" t="inlineStr">
        <is>
          <t>Summary doc</t>
        </is>
      </c>
      <c r="F15" s="9" t="n">
        <v>9</v>
      </c>
      <c r="G15" s="9" t="inlineStr">
        <is>
          <t>S2, S6</t>
        </is>
      </c>
      <c r="H15" s="16" t="inlineStr"/>
    </row>
    <row r="16">
      <c r="A16" s="9" t="n">
        <v>12</v>
      </c>
      <c r="B16" s="6" t="inlineStr">
        <is>
          <t>Architecture</t>
        </is>
      </c>
      <c r="C16" s="6" t="inlineStr">
        <is>
          <t>EE-3 Evidence &amp; Pitch</t>
        </is>
      </c>
      <c r="D16" s="6" t="inlineStr">
        <is>
          <t>Scenario visuals for the deck</t>
        </is>
      </c>
      <c r="E16" s="6" t="inlineStr">
        <is>
          <t>PNG / PDF</t>
        </is>
      </c>
      <c r="F16" s="9" t="n">
        <v>11</v>
      </c>
      <c r="G16" s="9" t="inlineStr">
        <is>
          <t>A4, S8</t>
        </is>
      </c>
      <c r="H16" s="16" t="inlineStr"/>
    </row>
    <row r="17">
      <c r="A17" s="9" t="n">
        <v>13</v>
      </c>
      <c r="B17" s="6" t="inlineStr">
        <is>
          <t>EE-2 Dashboard</t>
        </is>
      </c>
      <c r="C17" s="6" t="inlineStr">
        <is>
          <t>All</t>
        </is>
      </c>
      <c r="D17" s="6" t="inlineStr">
        <is>
          <t>Working demo build</t>
        </is>
      </c>
      <c r="E17" s="6" t="inlineStr">
        <is>
          <t>Link</t>
        </is>
      </c>
      <c r="F17" s="9" t="n">
        <v>10</v>
      </c>
      <c r="G17" s="9" t="inlineStr">
        <is>
          <t>W2-W7</t>
        </is>
      </c>
      <c r="H17" s="16" t="inlineStr"/>
    </row>
  </sheetData>
  <conditionalFormatting sqref="H5:H60">
    <cfRule type="cellIs" priority="1" operator="equal" dxfId="8">
      <formula>"Yes"</formula>
    </cfRule>
  </conditionalFormatting>
  <dataValidations count="1">
    <dataValidation sqref="H5:H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2828"/>
    <outlinePr summaryBelow="1" summaryRight="1"/>
    <pageSetUpPr/>
  </sheetPr>
  <dimension ref="A1:H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12" customWidth="1" min="4" max="4"/>
    <col width="46" customWidth="1" min="5" max="5"/>
    <col width="30" customWidth="1" min="6" max="6"/>
    <col width="24" customWidth="1" min="7" max="7"/>
    <col width="14" customWidth="1" min="8" max="8"/>
  </cols>
  <sheetData>
    <row r="1">
      <c r="A1" s="1" t="inlineStr">
        <is>
          <t>Assumption Ledger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Every number we did not measure. Owner: Mechanical lead. Replace 'Assumed' and 'Unknown' values when better data arrives.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11" t="inlineStr">
        <is>
          <t>#</t>
        </is>
      </c>
      <c r="B4" s="11" t="inlineStr">
        <is>
          <t>Item</t>
        </is>
      </c>
      <c r="C4" s="11" t="inlineStr">
        <is>
          <t>Value or range</t>
        </is>
      </c>
      <c r="D4" s="11" t="inlineStr">
        <is>
          <t>Status</t>
        </is>
      </c>
      <c r="E4" s="11" t="inlineStr">
        <is>
          <t>Source or basis</t>
        </is>
      </c>
      <c r="F4" s="11" t="inlineStr">
        <is>
          <t>Effect if wrong</t>
        </is>
      </c>
      <c r="G4" s="11" t="inlineStr">
        <is>
          <t>Replace with</t>
        </is>
      </c>
      <c r="H4" s="11" t="inlineStr">
        <is>
          <t>Owner</t>
        </is>
      </c>
    </row>
    <row r="5">
      <c r="A5" s="9" t="n">
        <v>1</v>
      </c>
      <c r="B5" s="6" t="inlineStr">
        <is>
          <t>Wetland Townpark storage</t>
        </is>
      </c>
      <c r="C5" s="6" t="inlineStr">
        <is>
          <t>16,000 m3 normal; 34,000 m3 additional; 50,000 m3 maximum</t>
        </is>
      </c>
      <c r="D5" s="9" t="inlineStr">
        <is>
          <t>Sourced</t>
        </is>
      </c>
      <c r="E5" s="6" t="inlineStr">
        <is>
          <t>SDP Bandar Bukit Raja booklet (design figures, not as-built)</t>
        </is>
      </c>
      <c r="F5" s="6" t="inlineStr">
        <is>
          <t>Over- or under-states storage</t>
        </is>
      </c>
      <c r="G5" s="6" t="inlineStr">
        <is>
          <t>As-built data</t>
        </is>
      </c>
      <c r="H5" s="9" t="inlineStr">
        <is>
          <t>Mechanical</t>
        </is>
      </c>
    </row>
    <row r="6">
      <c r="A6" s="9" t="n">
        <v>2</v>
      </c>
      <c r="B6" s="6" t="inlineStr">
        <is>
          <t>Taman Mutiara pond area</t>
        </is>
      </c>
      <c r="C6" s="6" t="inlineStr">
        <is>
          <t>About 2 ha</t>
        </is>
      </c>
      <c r="D6" s="9" t="inlineStr">
        <is>
          <t>Sourced</t>
        </is>
      </c>
      <c r="E6" s="6" t="inlineStr">
        <is>
          <t>Selangor Journal (undated); confirm date and completion</t>
        </is>
      </c>
      <c r="F6" s="6" t="inlineStr">
        <is>
          <t>Same</t>
        </is>
      </c>
      <c r="G6" s="6" t="inlineStr">
        <is>
          <t>Council drawings</t>
        </is>
      </c>
      <c r="H6" s="9" t="inlineStr">
        <is>
          <t>Mechanical</t>
        </is>
      </c>
    </row>
    <row r="7">
      <c r="A7" s="9" t="n">
        <v>3</v>
      </c>
      <c r="B7" s="6" t="inlineStr">
        <is>
          <t>Taman Mutiara pond depth and status</t>
        </is>
      </c>
      <c r="C7" s="6" t="inlineStr">
        <is>
          <t>[TBD] m; completion unconfirmed</t>
        </is>
      </c>
      <c r="D7" s="9" t="inlineStr">
        <is>
          <t>Unknown</t>
        </is>
      </c>
      <c r="E7" s="6" t="inlineStr">
        <is>
          <t>Utusan Nov 2024: 25% built, delayed by pump-capacity issues</t>
        </is>
      </c>
      <c r="F7" s="6" t="inlineStr">
        <is>
          <t>Storage mis-estimated</t>
        </is>
      </c>
      <c r="G7" s="6" t="inlineStr">
        <is>
          <t>Council or JPS data</t>
        </is>
      </c>
      <c r="H7" s="9" t="inlineStr">
        <is>
          <t>Mechanical</t>
        </is>
      </c>
    </row>
    <row r="8">
      <c r="A8" s="9" t="n">
        <v>4</v>
      </c>
      <c r="B8" s="6" t="inlineStr">
        <is>
          <t>Other ponds in BBR Phases 1-2</t>
        </is>
      </c>
      <c r="C8" s="6" t="inlineStr">
        <is>
          <t>[TBD]</t>
        </is>
      </c>
      <c r="D8" s="9" t="inlineStr">
        <is>
          <t>Unknown</t>
        </is>
      </c>
      <c r="E8" s="6" t="inlineStr">
        <is>
          <t>Residents described four in 2024</t>
        </is>
      </c>
      <c r="F8" s="6" t="inlineStr">
        <is>
          <t>Missing storage</t>
        </is>
      </c>
      <c r="G8" s="6" t="inlineStr">
        <is>
          <t>SDP inventory</t>
        </is>
      </c>
      <c r="H8" s="9" t="inlineStr">
        <is>
          <t>Mechanical</t>
        </is>
      </c>
    </row>
    <row r="9">
      <c r="A9" s="9" t="n">
        <v>5</v>
      </c>
      <c r="B9" s="6" t="inlineStr">
        <is>
          <t>Design storm</t>
        </is>
      </c>
      <c r="C9" s="6" t="inlineStr">
        <is>
          <t>[TBD] mm/h for [TBD]-year event</t>
        </is>
      </c>
      <c r="D9" s="9" t="inlineStr">
        <is>
          <t>Assumed</t>
        </is>
      </c>
      <c r="E9" s="6" t="inlineStr">
        <is>
          <t>MSMA 2 curves (may be outdated)</t>
        </is>
      </c>
      <c r="F9" s="6" t="inlineStr">
        <is>
          <t>Storage need under- or over-stated</t>
        </is>
      </c>
      <c r="G9" s="6" t="inlineStr">
        <is>
          <t>Updated local rainfall data</t>
        </is>
      </c>
      <c r="H9" s="9" t="inlineStr">
        <is>
          <t>Mechanical</t>
        </is>
      </c>
    </row>
    <row r="10">
      <c r="A10" s="9" t="n">
        <v>6</v>
      </c>
      <c r="B10" s="6" t="inlineStr">
        <is>
          <t>Runoff coefficient</t>
        </is>
      </c>
      <c r="C10" s="6" t="inlineStr">
        <is>
          <t>[TBD]</t>
        </is>
      </c>
      <c r="D10" s="9" t="inlineStr">
        <is>
          <t>Assumed</t>
        </is>
      </c>
      <c r="E10" s="6" t="inlineStr">
        <is>
          <t>Land-cover table</t>
        </is>
      </c>
      <c r="F10" s="6" t="inlineStr">
        <is>
          <t>Runoff mis-estimated</t>
        </is>
      </c>
      <c r="G10" s="6" t="inlineStr">
        <is>
          <t>Site data</t>
        </is>
      </c>
      <c r="H10" s="9" t="inlineStr">
        <is>
          <t>Mechanical</t>
        </is>
      </c>
    </row>
    <row r="11">
      <c r="A11" s="9" t="n">
        <v>7</v>
      </c>
      <c r="B11" s="6" t="inlineStr">
        <is>
          <t>Terrain vertical error</t>
        </is>
      </c>
      <c r="C11" s="6" t="inlineStr">
        <is>
          <t>About 1.1 m in built-up areas</t>
        </is>
      </c>
      <c r="D11" s="9" t="inlineStr">
        <is>
          <t>Sourced</t>
        </is>
      </c>
      <c r="E11" s="6" t="inlineStr">
        <is>
          <t>Developer-reported for FABDEM (Fathom)</t>
        </is>
      </c>
      <c r="F11" s="6" t="inlineStr">
        <is>
          <t>Low-lying zones misranked</t>
        </is>
      </c>
      <c r="G11" s="6" t="inlineStr">
        <is>
          <t>LiDAR (JUPEM or SDP)</t>
        </is>
      </c>
      <c r="H11" s="9" t="inlineStr">
        <is>
          <t>Mechanical</t>
        </is>
      </c>
    </row>
    <row r="12">
      <c r="A12" s="9" t="n">
        <v>8</v>
      </c>
      <c r="B12" s="6" t="inlineStr">
        <is>
          <t>Drain capacity and pump rates</t>
        </is>
      </c>
      <c r="C12" s="6" t="inlineStr">
        <is>
          <t>Not modelled</t>
        </is>
      </c>
      <c r="D12" s="9" t="inlineStr">
        <is>
          <t>Unknown</t>
        </is>
      </c>
      <c r="E12" s="6" t="inlineStr">
        <is>
          <t>No public data</t>
        </is>
      </c>
      <c r="F12" s="6" t="inlineStr">
        <is>
          <t>Local failures missed</t>
        </is>
      </c>
      <c r="G12" s="6" t="inlineStr">
        <is>
          <t>Drain and pump inventory</t>
        </is>
      </c>
      <c r="H12" s="9" t="inlineStr">
        <is>
          <t>Mechanical</t>
        </is>
      </c>
    </row>
    <row r="13">
      <c r="A13" s="9" t="n">
        <v>9</v>
      </c>
      <c r="B13" s="6" t="inlineStr">
        <is>
          <t>Catchment area (Setia Alam to BBR)</t>
        </is>
      </c>
      <c r="C13" s="6" t="inlineStr">
        <is>
          <t>[computed]</t>
        </is>
      </c>
      <c r="D13" s="9" t="inlineStr">
        <is>
          <t>Computed</t>
        </is>
      </c>
      <c r="E13" s="6" t="inlineStr">
        <is>
          <t>From elevation model (D3, M1)</t>
        </is>
      </c>
      <c r="F13" s="6" t="inlineStr">
        <is>
          <t>Contribution mis-stated</t>
        </is>
      </c>
      <c r="G13" s="6" t="inlineStr">
        <is>
          <t>Reviewed delineation</t>
        </is>
      </c>
      <c r="H13" s="9" t="inlineStr">
        <is>
          <t>Mechanical</t>
        </is>
      </c>
    </row>
    <row r="14">
      <c r="A14" s="9" t="n">
        <v>10</v>
      </c>
      <c r="B14" s="6" t="inlineStr">
        <is>
          <t>Storage required</t>
        </is>
      </c>
      <c r="C14" s="6" t="inlineStr">
        <is>
          <t>[computed: low / central / high]</t>
        </is>
      </c>
      <c r="D14" s="9" t="inlineStr">
        <is>
          <t>Computed</t>
        </is>
      </c>
      <c r="E14" s="6" t="inlineStr">
        <is>
          <t>M3</t>
        </is>
      </c>
      <c r="F14" s="6" t="inlineStr">
        <is>
          <t>Gap mis-stated</t>
        </is>
      </c>
      <c r="G14" s="6" t="inlineStr">
        <is>
          <t>Updated inputs</t>
        </is>
      </c>
      <c r="H14" s="9" t="inlineStr">
        <is>
          <t>Mechanical</t>
        </is>
      </c>
    </row>
  </sheetData>
  <conditionalFormatting sqref="D5:D60">
    <cfRule type="cellIs" priority="1" operator="equal" dxfId="8">
      <formula>"Sourced"</formula>
    </cfRule>
    <cfRule type="cellIs" priority="2" operator="equal" dxfId="9">
      <formula>"Assumed"</formula>
    </cfRule>
    <cfRule type="cellIs" priority="3" operator="equal" dxfId="10">
      <formula>"Unknown"</formula>
    </cfRule>
    <cfRule type="cellIs" priority="4" operator="equal" dxfId="11">
      <formula>"Computed"</formula>
    </cfRule>
  </conditionalFormatting>
  <dataValidations count="1">
    <dataValidation sqref="D5:D60" showDropDown="0" showInputMessage="0" showErrorMessage="0" allowBlank="1" type="list">
      <formula1>"Sourced,Assumed,Unknown,Computed"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5100"/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6" customWidth="1" min="3" max="3"/>
    <col width="46" customWidth="1" min="4" max="4"/>
    <col width="18" customWidth="1" min="5" max="5"/>
    <col width="14" customWidth="1" min="6" max="6"/>
  </cols>
  <sheetData>
    <row r="1">
      <c r="A1" s="1" t="inlineStr">
        <is>
          <t>Open Items and Risks</t>
        </is>
      </c>
      <c r="B1" s="2" t="n"/>
      <c r="C1" s="2" t="n"/>
      <c r="D1" s="2" t="n"/>
      <c r="E1" s="2" t="n"/>
      <c r="F1" s="2" t="n"/>
    </row>
    <row r="2">
      <c r="A2" s="3" t="inlineStr">
        <is>
          <t>Verify before submitting; manage risks every few days.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11" t="inlineStr">
        <is>
          <t>#</t>
        </is>
      </c>
      <c r="B4" s="11" t="inlineStr">
        <is>
          <t>Type</t>
        </is>
      </c>
      <c r="C4" s="11" t="inlineStr">
        <is>
          <t>Item</t>
        </is>
      </c>
      <c r="D4" s="11" t="inlineStr">
        <is>
          <t>Why it matters</t>
        </is>
      </c>
      <c r="E4" s="11" t="inlineStr">
        <is>
          <t>Owner</t>
        </is>
      </c>
      <c r="F4" s="11" t="inlineStr">
        <is>
          <t>Status</t>
        </is>
      </c>
    </row>
    <row r="5">
      <c r="A5" s="9" t="n">
        <v>1</v>
      </c>
      <c r="B5" s="44" t="inlineStr">
        <is>
          <t>Verify</t>
        </is>
      </c>
      <c r="C5" s="6" t="inlineStr">
        <is>
          <t>Year of the SDP managing director's 'top priority' quote (The Edge)</t>
        </is>
      </c>
      <c r="D5" s="6" t="inlineStr">
        <is>
          <t>Used on Slide 2</t>
        </is>
      </c>
      <c r="E5" s="6" t="inlineStr">
        <is>
          <t>EE-3 Evidence &amp; Pitch</t>
        </is>
      </c>
      <c r="F5" s="16" t="inlineStr">
        <is>
          <t>Open</t>
        </is>
      </c>
    </row>
    <row r="6">
      <c r="A6" s="9" t="n">
        <v>2</v>
      </c>
      <c r="B6" s="44" t="inlineStr">
        <is>
          <t>Verify</t>
        </is>
      </c>
      <c r="C6" s="6" t="inlineStr">
        <is>
          <t>Whether the Taman Mutiara pond was completed after March 2025; date and amount of the Selangor Journal report</t>
        </is>
      </c>
      <c r="D6" s="6" t="inlineStr">
        <is>
          <t>Affects storage numbers and the story</t>
        </is>
      </c>
      <c r="E6" s="6" t="inlineStr">
        <is>
          <t>Mechanical</t>
        </is>
      </c>
      <c r="F6" s="16" t="inlineStr">
        <is>
          <t>Open</t>
        </is>
      </c>
    </row>
    <row r="7">
      <c r="A7" s="9" t="n">
        <v>3</v>
      </c>
      <c r="B7" s="44" t="inlineStr">
        <is>
          <t>Verify</t>
        </is>
      </c>
      <c r="C7" s="6" t="inlineStr">
        <is>
          <t>Geographic scope of '300 unmanned ponds / 55 taken over by DID' (Klang or wider)</t>
        </is>
      </c>
      <c r="D7" s="6" t="inlineStr">
        <is>
          <t>Cited on Slide 4</t>
        </is>
      </c>
      <c r="E7" s="6" t="inlineStr">
        <is>
          <t>EE-3 Evidence &amp; Pitch</t>
        </is>
      </c>
      <c r="F7" s="16" t="inlineStr">
        <is>
          <t>Open</t>
        </is>
      </c>
    </row>
    <row r="8">
      <c r="A8" s="9" t="n">
        <v>4</v>
      </c>
      <c r="B8" s="44" t="inlineStr">
        <is>
          <t>Verify</t>
        </is>
      </c>
      <c r="C8" s="6" t="inlineStr">
        <is>
          <t>Which BBR neighbourhoods SDP actually developed (Taman Mutiara, Pekan Meru may not be SDP)</t>
        </is>
      </c>
      <c r="D8" s="6" t="inlineStr">
        <is>
          <t>Labels on all maps and slides</t>
        </is>
      </c>
      <c r="E8" s="6" t="inlineStr">
        <is>
          <t>Whole team</t>
        </is>
      </c>
      <c r="F8" s="16" t="inlineStr">
        <is>
          <t>Open</t>
        </is>
      </c>
    </row>
    <row r="9">
      <c r="A9" s="9" t="n">
        <v>5</v>
      </c>
      <c r="B9" s="44" t="inlineStr">
        <is>
          <t>Verify</t>
        </is>
      </c>
      <c r="C9" s="6" t="inlineStr">
        <is>
          <t>FABDEM licence terms for a competition submission</t>
        </is>
      </c>
      <c r="D9" s="6" t="inlineStr">
        <is>
          <t>Legal use of data</t>
        </is>
      </c>
      <c r="E9" s="6" t="inlineStr">
        <is>
          <t>EE-1 Data/GIS</t>
        </is>
      </c>
      <c r="F9" s="16" t="inlineStr">
        <is>
          <t>Open</t>
        </is>
      </c>
    </row>
    <row r="10">
      <c r="A10" s="9" t="n">
        <v>6</v>
      </c>
      <c r="B10" s="44" t="inlineStr">
        <is>
          <t>Verify</t>
        </is>
      </c>
      <c r="C10" s="6" t="inlineStr">
        <is>
          <t>data.gov.my licence and rate limits</t>
        </is>
      </c>
      <c r="D10" s="6" t="inlineStr">
        <is>
          <t>Advisory prototype</t>
        </is>
      </c>
      <c r="E10" s="6" t="inlineStr">
        <is>
          <t>EE-2 Dashboard</t>
        </is>
      </c>
      <c r="F10" s="16" t="inlineStr">
        <is>
          <t>Open</t>
        </is>
      </c>
    </row>
    <row r="11">
      <c r="A11" s="9" t="n">
        <v>7</v>
      </c>
      <c r="B11" s="44" t="inlineStr">
        <is>
          <t>Verify</t>
        </is>
      </c>
      <c r="C11" s="6" t="inlineStr">
        <is>
          <t>Whether myPublicInfoBanjir offers any permitted access (do not scrape)</t>
        </is>
      </c>
      <c r="D11" s="6" t="inlineStr">
        <is>
          <t>Data source for alerts</t>
        </is>
      </c>
      <c r="E11" s="6" t="inlineStr">
        <is>
          <t>EE-2 Dashboard</t>
        </is>
      </c>
      <c r="F11" s="16" t="inlineStr">
        <is>
          <t>Open</t>
        </is>
      </c>
    </row>
    <row r="12">
      <c r="A12" s="9" t="n">
        <v>8</v>
      </c>
      <c r="B12" s="44" t="inlineStr">
        <is>
          <t>Verify</t>
        </is>
      </c>
      <c r="C12" s="6" t="inlineStr">
        <is>
          <t>Whether the organisers set a 2-3 year implementation expectation</t>
        </is>
      </c>
      <c r="D12" s="6" t="inlineStr">
        <is>
          <t>Slide 9 wording</t>
        </is>
      </c>
      <c r="E12" s="6" t="inlineStr">
        <is>
          <t>Whole team</t>
        </is>
      </c>
      <c r="F12" s="16" t="inlineStr">
        <is>
          <t>Open</t>
        </is>
      </c>
    </row>
    <row r="13">
      <c r="A13" s="9" t="n">
        <v>9</v>
      </c>
      <c r="B13" s="44" t="inlineStr">
        <is>
          <t>Verify</t>
        </is>
      </c>
      <c r="C13" s="6" t="inlineStr">
        <is>
          <t>Read remaining SDP booklet pages (1, 2, 4, 6) for more volumes</t>
        </is>
      </c>
      <c r="D13" s="6" t="inlineStr">
        <is>
          <t>Better starting numbers</t>
        </is>
      </c>
      <c r="E13" s="6" t="inlineStr">
        <is>
          <t>Mechanical</t>
        </is>
      </c>
      <c r="F13" s="16" t="inlineStr">
        <is>
          <t>Open</t>
        </is>
      </c>
    </row>
    <row r="14">
      <c r="A14" s="9" t="n">
        <v>10</v>
      </c>
      <c r="B14" s="44" t="inlineStr">
        <is>
          <t>Verify</t>
        </is>
      </c>
      <c r="C14" s="6" t="inlineStr">
        <is>
          <t>Do not use KLASS RM144m or RM574.5m figures (appeared only in search summaries)</t>
        </is>
      </c>
      <c r="D14" s="6" t="inlineStr">
        <is>
          <t>Unsupported claims</t>
        </is>
      </c>
      <c r="E14" s="6" t="inlineStr">
        <is>
          <t>EE-3 Evidence &amp; Pitch</t>
        </is>
      </c>
      <c r="F14" s="16" t="inlineStr">
        <is>
          <t>Open</t>
        </is>
      </c>
    </row>
    <row r="15">
      <c r="A15" s="9" t="n">
        <v>11</v>
      </c>
      <c r="B15" s="45" t="inlineStr">
        <is>
          <t>Risk</t>
        </is>
      </c>
      <c r="C15" s="6" t="inlineStr">
        <is>
          <t>Overclaiming accuracy (terrain error is about 1 m)</t>
        </is>
      </c>
      <c r="D15" s="6" t="inlineStr">
        <is>
          <t>Credibility. Mitigation: risk bands, ledger, sensitivity chart</t>
        </is>
      </c>
      <c r="E15" s="6" t="inlineStr">
        <is>
          <t>Mechanical</t>
        </is>
      </c>
      <c r="F15" s="16" t="inlineStr">
        <is>
          <t>Open</t>
        </is>
      </c>
    </row>
    <row r="16">
      <c r="A16" s="9" t="n">
        <v>12</v>
      </c>
      <c r="B16" s="45" t="inlineStr">
        <is>
          <t>Risk</t>
        </is>
      </c>
      <c r="C16" s="6" t="inlineStr">
        <is>
          <t>Sounding like we blame SDP, councils or residents</t>
        </is>
      </c>
      <c r="D16" s="6" t="inlineStr">
        <is>
          <t>Sensitivity. Mitigation: neutral language, flow paths and capacity only</t>
        </is>
      </c>
      <c r="E16" s="6" t="inlineStr">
        <is>
          <t>Whole team</t>
        </is>
      </c>
      <c r="F16" s="16" t="inlineStr">
        <is>
          <t>Open</t>
        </is>
      </c>
    </row>
    <row r="17">
      <c r="A17" s="9" t="n">
        <v>13</v>
      </c>
      <c r="B17" s="45" t="inlineStr">
        <is>
          <t>Risk</t>
        </is>
      </c>
      <c r="C17" s="6" t="inlineStr">
        <is>
          <t>Advisory mistaken for an official warning</t>
        </is>
      </c>
      <c r="D17" s="6" t="inlineStr">
        <is>
          <t>Liability. Mitigation: label, link official source, opt-in</t>
        </is>
      </c>
      <c r="E17" s="6" t="inlineStr">
        <is>
          <t>EE-2 Dashboard</t>
        </is>
      </c>
      <c r="F17" s="16" t="inlineStr">
        <is>
          <t>Open</t>
        </is>
      </c>
    </row>
    <row r="18">
      <c r="A18" s="9" t="n">
        <v>14</v>
      </c>
      <c r="B18" s="45" t="inlineStr">
        <is>
          <t>Risk</t>
        </is>
      </c>
      <c r="C18" s="6" t="inlineStr">
        <is>
          <t>Scope creep (building tier B or C)</t>
        </is>
      </c>
      <c r="D18" s="6" t="inlineStr">
        <is>
          <t>Time. Mitigation: core tasks only; use drop order on README</t>
        </is>
      </c>
      <c r="E18" s="6" t="inlineStr">
        <is>
          <t>Whole team</t>
        </is>
      </c>
      <c r="F18" s="16" t="inlineStr">
        <is>
          <t>Open</t>
        </is>
      </c>
    </row>
    <row r="19">
      <c r="A19" s="9" t="n">
        <v>15</v>
      </c>
      <c r="B19" s="45" t="inlineStr">
        <is>
          <t>Risk</t>
        </is>
      </c>
      <c r="C19" s="6" t="inlineStr">
        <is>
          <t>Saying 'nothing is being done' (many projects exist)</t>
        </is>
      </c>
      <c r="D19" s="6" t="inlineStr">
        <is>
          <t>Credibility. Frame as separate programmes with no shared view</t>
        </is>
      </c>
      <c r="E19" s="6" t="inlineStr">
        <is>
          <t>EE-3 Evidence &amp; Pitch</t>
        </is>
      </c>
      <c r="F19" s="16" t="inlineStr">
        <is>
          <t>Open</t>
        </is>
      </c>
    </row>
    <row r="20">
      <c r="A20" s="9" t="n">
        <v>16</v>
      </c>
      <c r="B20" s="45" t="inlineStr">
        <is>
          <t>Risk</t>
        </is>
      </c>
      <c r="C20" s="6" t="inlineStr">
        <is>
          <t>Quoting the 2024 'four shallow ponds' as current</t>
        </is>
      </c>
      <c r="D20" s="6" t="inlineStr">
        <is>
          <t>Accuracy. Say 'residents said in 2024'</t>
        </is>
      </c>
      <c r="E20" s="6" t="inlineStr">
        <is>
          <t>EE-3 Evidence &amp; Pitch</t>
        </is>
      </c>
      <c r="F20" s="16" t="inlineStr">
        <is>
          <t>Open</t>
        </is>
      </c>
    </row>
    <row r="21">
      <c r="A21" s="9" t="n">
        <v>17</v>
      </c>
      <c r="B21" s="45" t="inlineStr">
        <is>
          <t>Risk</t>
        </is>
      </c>
      <c r="C21" s="6" t="inlineStr">
        <is>
          <t>Treating SDP booklet figures as as-built</t>
        </is>
      </c>
      <c r="D21" s="6" t="inlineStr">
        <is>
          <t>Accuracy. They are design and marketing figures</t>
        </is>
      </c>
      <c r="E21" s="6" t="inlineStr">
        <is>
          <t>Mechanical</t>
        </is>
      </c>
      <c r="F21" s="16" t="inlineStr">
        <is>
          <t>Open</t>
        </is>
      </c>
    </row>
    <row r="22">
      <c r="A22" s="9" t="n">
        <v>18</v>
      </c>
      <c r="B22" s="45" t="inlineStr">
        <is>
          <t>Risk</t>
        </is>
      </c>
      <c r="C22" s="6" t="inlineStr">
        <is>
          <t>No one owns the business case</t>
        </is>
      </c>
      <c r="D22" s="6" t="inlineStr">
        <is>
          <t>10% of score. Assigned to EE-3</t>
        </is>
      </c>
      <c r="E22" s="6" t="inlineStr">
        <is>
          <t>EE-3 Evidence &amp; Pitch</t>
        </is>
      </c>
      <c r="F22" s="16" t="inlineStr">
        <is>
          <t>Open</t>
        </is>
      </c>
    </row>
    <row r="23">
      <c r="A23" s="9" t="n">
        <v>19</v>
      </c>
      <c r="B23" s="45" t="inlineStr">
        <is>
          <t>Risk</t>
        </is>
      </c>
      <c r="C23" s="6" t="inlineStr">
        <is>
          <t>Large 3D files slow the web dashboard</t>
        </is>
      </c>
      <c r="D23" s="6" t="inlineStr">
        <is>
          <t>Demo reliability. Mitigation: A6 optimisation</t>
        </is>
      </c>
      <c r="E23" s="6" t="inlineStr">
        <is>
          <t>Architecture</t>
        </is>
      </c>
      <c r="F23" s="16" t="inlineStr">
        <is>
          <t>Open</t>
        </is>
      </c>
    </row>
  </sheetData>
  <conditionalFormatting sqref="F5:F80">
    <cfRule type="cellIs" priority="1" operator="equal" dxfId="8">
      <formula>"Done"</formula>
    </cfRule>
    <cfRule type="cellIs" priority="2" operator="equal" dxfId="9">
      <formula>"In progress"</formula>
    </cfRule>
  </conditionalFormatting>
  <dataValidations count="1">
    <dataValidation sqref="F5:F80" showDropDown="0" showInputMessage="0" showErrorMessage="0" allowBlank="0" type="list">
      <formula1>"Open,In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2026-10-10T11:46:46Z</dcterms:created>
  <dcterms:modified xmlns:dcterms="http://purl.org/dc/terms/" xmlns:xsi="http://www.w3.org/2001/XMLSchema-instance" xsi:type="dcterms:W3CDTF">2026-10-10T11:46:46Z</dcterms:modified>
</cp:coreProperties>
</file>